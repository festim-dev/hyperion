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Research\HYPERION\Experimental data\3. Swapped configuration (after shaking)\2. 100_ permeation resistant coating\"/>
    </mc:Choice>
  </mc:AlternateContent>
  <xr:revisionPtr revIDLastSave="0" documentId="13_ncr:1_{4B5C956C-6FE2-429B-B510-40FB913788C2}" xr6:coauthVersionLast="47" xr6:coauthVersionMax="47" xr10:uidLastSave="{00000000-0000-0000-0000-000000000000}"/>
  <bookViews>
    <workbookView xWindow="19110" yWindow="0" windowWidth="19380" windowHeight="20970" tabRatio="774" firstSheet="3" activeTab="4" xr2:uid="{00000000-000D-0000-FFFF-FFFF00000000}"/>
  </bookViews>
  <sheets>
    <sheet name="500C_5mm_coated+swapped+dewar_N" sheetId="27" r:id="rId1"/>
    <sheet name="550C_5mm_coated+swapped+dewar_N" sheetId="28" r:id="rId2"/>
    <sheet name="600C_5mm_coated+swapped+dewar_N" sheetId="30" r:id="rId3"/>
    <sheet name="650C_5mm_coated+swapped+dewar_N" sheetId="31" r:id="rId4"/>
    <sheet name="700C_5mm_coated+swapped+dewar_N" sheetId="3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2" l="1"/>
  <c r="B4" i="32"/>
  <c r="B5" i="32"/>
  <c r="B6" i="32"/>
  <c r="B7" i="32"/>
  <c r="B8" i="32"/>
  <c r="B9" i="32"/>
  <c r="B10" i="32"/>
  <c r="B11" i="32"/>
  <c r="B12" i="32"/>
  <c r="B13" i="32"/>
  <c r="B14" i="32"/>
  <c r="B15" i="32"/>
  <c r="B16" i="32"/>
  <c r="B17" i="32"/>
  <c r="B18" i="32"/>
  <c r="B19" i="32"/>
  <c r="B20" i="32"/>
  <c r="B21" i="32"/>
  <c r="B22" i="32"/>
  <c r="B23" i="32"/>
  <c r="B24" i="32"/>
  <c r="B25" i="32"/>
  <c r="B26" i="32"/>
  <c r="B27" i="32"/>
  <c r="B28" i="32"/>
  <c r="B29" i="32"/>
  <c r="B30" i="32"/>
  <c r="B31" i="32"/>
  <c r="B32" i="32"/>
  <c r="B33" i="32"/>
  <c r="B34" i="32"/>
  <c r="B35" i="32"/>
  <c r="B36" i="32"/>
  <c r="B37" i="32"/>
  <c r="B38" i="32"/>
  <c r="B39" i="32"/>
  <c r="B40" i="32"/>
  <c r="B41" i="32"/>
  <c r="B42" i="32"/>
  <c r="B43" i="32"/>
  <c r="B44" i="32"/>
  <c r="B45" i="32"/>
  <c r="B46" i="32"/>
  <c r="B47" i="32"/>
  <c r="B48" i="32"/>
  <c r="B49" i="32"/>
  <c r="B50" i="32"/>
  <c r="B51" i="32"/>
  <c r="B52" i="32"/>
  <c r="B53" i="32"/>
  <c r="B54" i="32"/>
  <c r="B55" i="32"/>
  <c r="B56" i="32"/>
  <c r="B57" i="32"/>
  <c r="B58" i="32"/>
  <c r="B59" i="32"/>
  <c r="B60" i="32"/>
  <c r="B61" i="32"/>
  <c r="B62" i="32"/>
  <c r="B63" i="32"/>
  <c r="B64" i="32"/>
  <c r="B65" i="32"/>
  <c r="B66" i="32"/>
  <c r="B67" i="32"/>
  <c r="B68" i="32"/>
  <c r="B69" i="32"/>
  <c r="B70" i="32"/>
  <c r="B71" i="32"/>
  <c r="B72" i="32"/>
  <c r="B73" i="32"/>
  <c r="B74" i="32"/>
  <c r="B75" i="32"/>
  <c r="B76" i="32"/>
  <c r="B77" i="32"/>
  <c r="B78" i="32"/>
  <c r="B79" i="32"/>
  <c r="B80" i="32"/>
  <c r="B81" i="32"/>
  <c r="B82" i="32"/>
  <c r="B83" i="32"/>
  <c r="B84" i="32"/>
  <c r="B85" i="32"/>
  <c r="B86" i="32"/>
  <c r="B87" i="32"/>
  <c r="B88" i="32"/>
  <c r="B89" i="32"/>
  <c r="B90" i="32"/>
  <c r="B91" i="32"/>
  <c r="B92" i="32"/>
  <c r="B93" i="32"/>
  <c r="B94" i="32"/>
  <c r="B95" i="32"/>
  <c r="B96" i="32"/>
  <c r="B97" i="32"/>
  <c r="B98" i="32"/>
  <c r="B99" i="32"/>
  <c r="B100" i="32"/>
  <c r="B101" i="32"/>
  <c r="B102" i="32"/>
  <c r="B103" i="32"/>
  <c r="B104" i="32"/>
  <c r="B105" i="32"/>
  <c r="B106" i="32"/>
  <c r="B107" i="32"/>
  <c r="B108" i="32"/>
  <c r="B109" i="32"/>
  <c r="B110" i="32"/>
  <c r="B111" i="32"/>
  <c r="B112" i="32"/>
  <c r="B113" i="32"/>
  <c r="B114" i="32"/>
  <c r="B115" i="32"/>
  <c r="B116" i="32"/>
  <c r="B117" i="32"/>
  <c r="B118" i="32"/>
  <c r="B119" i="32"/>
  <c r="B120" i="32"/>
  <c r="B121" i="32"/>
  <c r="B122" i="32"/>
  <c r="B123" i="32"/>
  <c r="B124" i="32"/>
  <c r="B125" i="32"/>
  <c r="B2" i="32"/>
  <c r="V150" i="31"/>
  <c r="V83" i="30"/>
  <c r="W125" i="32" l="1"/>
  <c r="T125" i="32"/>
  <c r="Q125" i="32"/>
  <c r="N125" i="32"/>
  <c r="M125" i="32"/>
  <c r="X125" i="32" s="1"/>
  <c r="J125" i="32"/>
  <c r="H125" i="32"/>
  <c r="E125" i="32"/>
  <c r="F125" i="32" s="1"/>
  <c r="C125" i="32"/>
  <c r="W124" i="32"/>
  <c r="T124" i="32"/>
  <c r="Q124" i="32"/>
  <c r="N124" i="32"/>
  <c r="M124" i="32"/>
  <c r="J124" i="32"/>
  <c r="H124" i="32"/>
  <c r="E124" i="32"/>
  <c r="F124" i="32" s="1"/>
  <c r="C124" i="32"/>
  <c r="W123" i="32"/>
  <c r="T123" i="32"/>
  <c r="Q123" i="32"/>
  <c r="N123" i="32"/>
  <c r="M123" i="32"/>
  <c r="J123" i="32"/>
  <c r="H123" i="32"/>
  <c r="E123" i="32"/>
  <c r="F123" i="32" s="1"/>
  <c r="C123" i="32"/>
  <c r="W122" i="32"/>
  <c r="T122" i="32"/>
  <c r="Q122" i="32"/>
  <c r="N122" i="32"/>
  <c r="M122" i="32"/>
  <c r="J122" i="32"/>
  <c r="H122" i="32"/>
  <c r="E122" i="32"/>
  <c r="F122" i="32" s="1"/>
  <c r="C122" i="32"/>
  <c r="W121" i="32"/>
  <c r="T121" i="32"/>
  <c r="Q121" i="32"/>
  <c r="N121" i="32"/>
  <c r="M121" i="32"/>
  <c r="J121" i="32"/>
  <c r="H121" i="32"/>
  <c r="E121" i="32"/>
  <c r="F121" i="32" s="1"/>
  <c r="C121" i="32"/>
  <c r="W120" i="32"/>
  <c r="T120" i="32"/>
  <c r="Q120" i="32"/>
  <c r="N120" i="32"/>
  <c r="M120" i="32"/>
  <c r="J120" i="32"/>
  <c r="H120" i="32"/>
  <c r="E120" i="32"/>
  <c r="F120" i="32" s="1"/>
  <c r="C120" i="32"/>
  <c r="W119" i="32"/>
  <c r="T119" i="32"/>
  <c r="Q119" i="32"/>
  <c r="N119" i="32"/>
  <c r="M119" i="32"/>
  <c r="J119" i="32"/>
  <c r="H119" i="32"/>
  <c r="E119" i="32"/>
  <c r="F119" i="32" s="1"/>
  <c r="C119" i="32"/>
  <c r="W118" i="32"/>
  <c r="T118" i="32"/>
  <c r="Q118" i="32"/>
  <c r="N118" i="32"/>
  <c r="M118" i="32"/>
  <c r="J118" i="32"/>
  <c r="H118" i="32"/>
  <c r="E118" i="32"/>
  <c r="F118" i="32" s="1"/>
  <c r="C118" i="32"/>
  <c r="W117" i="32"/>
  <c r="T117" i="32"/>
  <c r="Q117" i="32"/>
  <c r="N117" i="32"/>
  <c r="M117" i="32"/>
  <c r="J117" i="32"/>
  <c r="H117" i="32"/>
  <c r="E117" i="32"/>
  <c r="F117" i="32" s="1"/>
  <c r="C117" i="32"/>
  <c r="W116" i="32"/>
  <c r="T116" i="32"/>
  <c r="Q116" i="32"/>
  <c r="N116" i="32"/>
  <c r="M116" i="32"/>
  <c r="J116" i="32"/>
  <c r="H116" i="32"/>
  <c r="E116" i="32"/>
  <c r="F116" i="32" s="1"/>
  <c r="C116" i="32"/>
  <c r="W115" i="32"/>
  <c r="T115" i="32"/>
  <c r="Q115" i="32"/>
  <c r="N115" i="32"/>
  <c r="M115" i="32"/>
  <c r="J115" i="32"/>
  <c r="H115" i="32"/>
  <c r="E115" i="32"/>
  <c r="F115" i="32" s="1"/>
  <c r="C115" i="32"/>
  <c r="W114" i="32"/>
  <c r="T114" i="32"/>
  <c r="Q114" i="32"/>
  <c r="N114" i="32"/>
  <c r="M114" i="32"/>
  <c r="J114" i="32"/>
  <c r="H114" i="32"/>
  <c r="E114" i="32"/>
  <c r="F114" i="32" s="1"/>
  <c r="C114" i="32"/>
  <c r="W113" i="32"/>
  <c r="T113" i="32"/>
  <c r="Q113" i="32"/>
  <c r="N113" i="32"/>
  <c r="M113" i="32"/>
  <c r="J113" i="32"/>
  <c r="H113" i="32"/>
  <c r="E113" i="32"/>
  <c r="F113" i="32" s="1"/>
  <c r="C113" i="32"/>
  <c r="W112" i="32"/>
  <c r="T112" i="32"/>
  <c r="Q112" i="32"/>
  <c r="N112" i="32"/>
  <c r="M112" i="32"/>
  <c r="J112" i="32"/>
  <c r="H112" i="32"/>
  <c r="E112" i="32"/>
  <c r="F112" i="32" s="1"/>
  <c r="C112" i="32"/>
  <c r="W111" i="32"/>
  <c r="T111" i="32"/>
  <c r="Q111" i="32"/>
  <c r="N111" i="32"/>
  <c r="M111" i="32"/>
  <c r="J111" i="32"/>
  <c r="H111" i="32"/>
  <c r="E111" i="32"/>
  <c r="F111" i="32" s="1"/>
  <c r="C111" i="32"/>
  <c r="W110" i="32"/>
  <c r="T110" i="32"/>
  <c r="Q110" i="32"/>
  <c r="N110" i="32"/>
  <c r="M110" i="32"/>
  <c r="J110" i="32"/>
  <c r="H110" i="32"/>
  <c r="E110" i="32"/>
  <c r="F110" i="32" s="1"/>
  <c r="C110" i="32"/>
  <c r="W109" i="32"/>
  <c r="T109" i="32"/>
  <c r="Q109" i="32"/>
  <c r="N109" i="32"/>
  <c r="M109" i="32"/>
  <c r="J109" i="32"/>
  <c r="H109" i="32"/>
  <c r="E109" i="32"/>
  <c r="F109" i="32" s="1"/>
  <c r="C109" i="32"/>
  <c r="W108" i="32"/>
  <c r="T108" i="32"/>
  <c r="Q108" i="32"/>
  <c r="N108" i="32"/>
  <c r="M108" i="32"/>
  <c r="J108" i="32"/>
  <c r="H108" i="32"/>
  <c r="E108" i="32"/>
  <c r="F108" i="32" s="1"/>
  <c r="C108" i="32"/>
  <c r="W107" i="32"/>
  <c r="T107" i="32"/>
  <c r="Q107" i="32"/>
  <c r="N107" i="32"/>
  <c r="M107" i="32"/>
  <c r="J107" i="32"/>
  <c r="H107" i="32"/>
  <c r="E107" i="32"/>
  <c r="F107" i="32" s="1"/>
  <c r="C107" i="32"/>
  <c r="W106" i="32"/>
  <c r="T106" i="32"/>
  <c r="Q106" i="32"/>
  <c r="N106" i="32"/>
  <c r="M106" i="32"/>
  <c r="J106" i="32"/>
  <c r="H106" i="32"/>
  <c r="E106" i="32"/>
  <c r="F106" i="32" s="1"/>
  <c r="C106" i="32"/>
  <c r="W105" i="32"/>
  <c r="T105" i="32"/>
  <c r="Q105" i="32"/>
  <c r="N105" i="32"/>
  <c r="M105" i="32"/>
  <c r="J105" i="32"/>
  <c r="H105" i="32"/>
  <c r="E105" i="32"/>
  <c r="F105" i="32" s="1"/>
  <c r="C105" i="32"/>
  <c r="W104" i="32"/>
  <c r="T104" i="32"/>
  <c r="Q104" i="32"/>
  <c r="N104" i="32"/>
  <c r="M104" i="32"/>
  <c r="J104" i="32"/>
  <c r="H104" i="32"/>
  <c r="E104" i="32"/>
  <c r="F104" i="32" s="1"/>
  <c r="C104" i="32"/>
  <c r="W103" i="32"/>
  <c r="T103" i="32"/>
  <c r="Q103" i="32"/>
  <c r="N103" i="32"/>
  <c r="M103" i="32"/>
  <c r="J103" i="32"/>
  <c r="H103" i="32"/>
  <c r="E103" i="32"/>
  <c r="F103" i="32" s="1"/>
  <c r="C103" i="32"/>
  <c r="W102" i="32"/>
  <c r="T102" i="32"/>
  <c r="Q102" i="32"/>
  <c r="N102" i="32"/>
  <c r="M102" i="32"/>
  <c r="J102" i="32"/>
  <c r="H102" i="32"/>
  <c r="E102" i="32"/>
  <c r="F102" i="32" s="1"/>
  <c r="C102" i="32"/>
  <c r="W101" i="32"/>
  <c r="T101" i="32"/>
  <c r="Q101" i="32"/>
  <c r="N101" i="32"/>
  <c r="M101" i="32"/>
  <c r="J101" i="32"/>
  <c r="H101" i="32"/>
  <c r="E101" i="32"/>
  <c r="F101" i="32" s="1"/>
  <c r="C101" i="32"/>
  <c r="W100" i="32"/>
  <c r="T100" i="32"/>
  <c r="Q100" i="32"/>
  <c r="N100" i="32"/>
  <c r="M100" i="32"/>
  <c r="J100" i="32"/>
  <c r="H100" i="32"/>
  <c r="E100" i="32"/>
  <c r="F100" i="32" s="1"/>
  <c r="C100" i="32"/>
  <c r="W99" i="32"/>
  <c r="T99" i="32"/>
  <c r="Q99" i="32"/>
  <c r="N99" i="32"/>
  <c r="M99" i="32"/>
  <c r="J99" i="32"/>
  <c r="H99" i="32"/>
  <c r="E99" i="32"/>
  <c r="F99" i="32" s="1"/>
  <c r="C99" i="32"/>
  <c r="W98" i="32"/>
  <c r="T98" i="32"/>
  <c r="Q98" i="32"/>
  <c r="N98" i="32"/>
  <c r="M98" i="32"/>
  <c r="J98" i="32"/>
  <c r="H98" i="32"/>
  <c r="E98" i="32"/>
  <c r="F98" i="32" s="1"/>
  <c r="C98" i="32"/>
  <c r="W97" i="32"/>
  <c r="T97" i="32"/>
  <c r="Q97" i="32"/>
  <c r="N97" i="32"/>
  <c r="M97" i="32"/>
  <c r="J97" i="32"/>
  <c r="H97" i="32"/>
  <c r="E97" i="32"/>
  <c r="F97" i="32" s="1"/>
  <c r="C97" i="32"/>
  <c r="W96" i="32"/>
  <c r="T96" i="32"/>
  <c r="Q96" i="32"/>
  <c r="N96" i="32"/>
  <c r="M96" i="32"/>
  <c r="J96" i="32"/>
  <c r="H96" i="32"/>
  <c r="E96" i="32"/>
  <c r="F96" i="32" s="1"/>
  <c r="C96" i="32"/>
  <c r="W95" i="32"/>
  <c r="T95" i="32"/>
  <c r="Q95" i="32"/>
  <c r="N95" i="32"/>
  <c r="M95" i="32"/>
  <c r="J95" i="32"/>
  <c r="H95" i="32"/>
  <c r="E95" i="32"/>
  <c r="F95" i="32" s="1"/>
  <c r="C95" i="32"/>
  <c r="W94" i="32"/>
  <c r="T94" i="32"/>
  <c r="Q94" i="32"/>
  <c r="N94" i="32"/>
  <c r="M94" i="32"/>
  <c r="J94" i="32"/>
  <c r="H94" i="32"/>
  <c r="E94" i="32"/>
  <c r="F94" i="32" s="1"/>
  <c r="C94" i="32"/>
  <c r="W93" i="32"/>
  <c r="T93" i="32"/>
  <c r="Q93" i="32"/>
  <c r="N93" i="32"/>
  <c r="M93" i="32"/>
  <c r="J93" i="32"/>
  <c r="H93" i="32"/>
  <c r="E93" i="32"/>
  <c r="F93" i="32" s="1"/>
  <c r="C93" i="32"/>
  <c r="W92" i="32"/>
  <c r="T92" i="32"/>
  <c r="Q92" i="32"/>
  <c r="N92" i="32"/>
  <c r="M92" i="32"/>
  <c r="J92" i="32"/>
  <c r="H92" i="32"/>
  <c r="E92" i="32"/>
  <c r="F92" i="32" s="1"/>
  <c r="C92" i="32"/>
  <c r="W91" i="32"/>
  <c r="T91" i="32"/>
  <c r="Q91" i="32"/>
  <c r="N91" i="32"/>
  <c r="M91" i="32"/>
  <c r="J91" i="32"/>
  <c r="H91" i="32"/>
  <c r="E91" i="32"/>
  <c r="F91" i="32" s="1"/>
  <c r="C91" i="32"/>
  <c r="W90" i="32"/>
  <c r="T90" i="32"/>
  <c r="Q90" i="32"/>
  <c r="N90" i="32"/>
  <c r="M90" i="32"/>
  <c r="J90" i="32"/>
  <c r="H90" i="32"/>
  <c r="E90" i="32"/>
  <c r="F90" i="32" s="1"/>
  <c r="C90" i="32"/>
  <c r="W89" i="32"/>
  <c r="T89" i="32"/>
  <c r="Q89" i="32"/>
  <c r="N89" i="32"/>
  <c r="M89" i="32"/>
  <c r="X89" i="32" s="1"/>
  <c r="J89" i="32"/>
  <c r="H89" i="32"/>
  <c r="E89" i="32"/>
  <c r="F89" i="32" s="1"/>
  <c r="C89" i="32"/>
  <c r="W88" i="32"/>
  <c r="T88" i="32"/>
  <c r="Q88" i="32"/>
  <c r="N88" i="32"/>
  <c r="M88" i="32"/>
  <c r="J88" i="32"/>
  <c r="H88" i="32"/>
  <c r="E88" i="32"/>
  <c r="F88" i="32" s="1"/>
  <c r="C88" i="32"/>
  <c r="W87" i="32"/>
  <c r="T87" i="32"/>
  <c r="Q87" i="32"/>
  <c r="N87" i="32"/>
  <c r="M87" i="32"/>
  <c r="J87" i="32"/>
  <c r="H87" i="32"/>
  <c r="E87" i="32"/>
  <c r="F87" i="32" s="1"/>
  <c r="C87" i="32"/>
  <c r="W86" i="32"/>
  <c r="T86" i="32"/>
  <c r="Q86" i="32"/>
  <c r="N86" i="32"/>
  <c r="M86" i="32"/>
  <c r="J86" i="32"/>
  <c r="H86" i="32"/>
  <c r="E86" i="32"/>
  <c r="F86" i="32" s="1"/>
  <c r="C86" i="32"/>
  <c r="W85" i="32"/>
  <c r="T85" i="32"/>
  <c r="Q85" i="32"/>
  <c r="N85" i="32"/>
  <c r="M85" i="32"/>
  <c r="J85" i="32"/>
  <c r="H85" i="32"/>
  <c r="E85" i="32"/>
  <c r="F85" i="32" s="1"/>
  <c r="C85" i="32"/>
  <c r="W84" i="32"/>
  <c r="T84" i="32"/>
  <c r="Q84" i="32"/>
  <c r="N84" i="32"/>
  <c r="M84" i="32"/>
  <c r="J84" i="32"/>
  <c r="H84" i="32"/>
  <c r="E84" i="32"/>
  <c r="F84" i="32" s="1"/>
  <c r="C84" i="32"/>
  <c r="W83" i="32"/>
  <c r="T83" i="32"/>
  <c r="Q83" i="32"/>
  <c r="N83" i="32"/>
  <c r="M83" i="32"/>
  <c r="X83" i="32" s="1"/>
  <c r="J83" i="32"/>
  <c r="H83" i="32"/>
  <c r="E83" i="32"/>
  <c r="F83" i="32" s="1"/>
  <c r="C83" i="32"/>
  <c r="W82" i="32"/>
  <c r="T82" i="32"/>
  <c r="Q82" i="32"/>
  <c r="N82" i="32"/>
  <c r="M82" i="32"/>
  <c r="J82" i="32"/>
  <c r="H82" i="32"/>
  <c r="E82" i="32"/>
  <c r="F82" i="32" s="1"/>
  <c r="C82" i="32"/>
  <c r="W81" i="32"/>
  <c r="T81" i="32"/>
  <c r="Q81" i="32"/>
  <c r="N81" i="32"/>
  <c r="M81" i="32"/>
  <c r="J81" i="32"/>
  <c r="H81" i="32"/>
  <c r="E81" i="32"/>
  <c r="F81" i="32" s="1"/>
  <c r="K81" i="32" s="1"/>
  <c r="C81" i="32"/>
  <c r="W80" i="32"/>
  <c r="T80" i="32"/>
  <c r="Q80" i="32"/>
  <c r="N80" i="32"/>
  <c r="M80" i="32"/>
  <c r="X80" i="32" s="1"/>
  <c r="J80" i="32"/>
  <c r="H80" i="32"/>
  <c r="E80" i="32"/>
  <c r="F80" i="32" s="1"/>
  <c r="C80" i="32"/>
  <c r="W79" i="32"/>
  <c r="T79" i="32"/>
  <c r="Q79" i="32"/>
  <c r="N79" i="32"/>
  <c r="M79" i="32"/>
  <c r="J79" i="32"/>
  <c r="H79" i="32"/>
  <c r="E79" i="32"/>
  <c r="F79" i="32" s="1"/>
  <c r="C79" i="32"/>
  <c r="W78" i="32"/>
  <c r="T78" i="32"/>
  <c r="Q78" i="32"/>
  <c r="N78" i="32"/>
  <c r="M78" i="32"/>
  <c r="J78" i="32"/>
  <c r="H78" i="32"/>
  <c r="E78" i="32"/>
  <c r="F78" i="32" s="1"/>
  <c r="C78" i="32"/>
  <c r="W77" i="32"/>
  <c r="T77" i="32"/>
  <c r="Q77" i="32"/>
  <c r="N77" i="32"/>
  <c r="M77" i="32"/>
  <c r="J77" i="32"/>
  <c r="H77" i="32"/>
  <c r="E77" i="32"/>
  <c r="F77" i="32" s="1"/>
  <c r="C77" i="32"/>
  <c r="W76" i="32"/>
  <c r="T76" i="32"/>
  <c r="Q76" i="32"/>
  <c r="N76" i="32"/>
  <c r="M76" i="32"/>
  <c r="J76" i="32"/>
  <c r="H76" i="32"/>
  <c r="E76" i="32"/>
  <c r="F76" i="32" s="1"/>
  <c r="C76" i="32"/>
  <c r="W75" i="32"/>
  <c r="T75" i="32"/>
  <c r="Q75" i="32"/>
  <c r="N75" i="32"/>
  <c r="M75" i="32"/>
  <c r="J75" i="32"/>
  <c r="H75" i="32"/>
  <c r="E75" i="32"/>
  <c r="F75" i="32" s="1"/>
  <c r="C75" i="32"/>
  <c r="W74" i="32"/>
  <c r="T74" i="32"/>
  <c r="Q74" i="32"/>
  <c r="N74" i="32"/>
  <c r="M74" i="32"/>
  <c r="X74" i="32" s="1"/>
  <c r="J74" i="32"/>
  <c r="H74" i="32"/>
  <c r="E74" i="32"/>
  <c r="F74" i="32" s="1"/>
  <c r="C74" i="32"/>
  <c r="W73" i="32"/>
  <c r="T73" i="32"/>
  <c r="Q73" i="32"/>
  <c r="N73" i="32"/>
  <c r="M73" i="32"/>
  <c r="J73" i="32"/>
  <c r="H73" i="32"/>
  <c r="E73" i="32"/>
  <c r="F73" i="32" s="1"/>
  <c r="C73" i="32"/>
  <c r="W72" i="32"/>
  <c r="T72" i="32"/>
  <c r="Q72" i="32"/>
  <c r="N72" i="32"/>
  <c r="M72" i="32"/>
  <c r="J72" i="32"/>
  <c r="H72" i="32"/>
  <c r="E72" i="32"/>
  <c r="F72" i="32" s="1"/>
  <c r="C72" i="32"/>
  <c r="W71" i="32"/>
  <c r="T71" i="32"/>
  <c r="Q71" i="32"/>
  <c r="N71" i="32"/>
  <c r="M71" i="32"/>
  <c r="J71" i="32"/>
  <c r="H71" i="32"/>
  <c r="E71" i="32"/>
  <c r="F71" i="32" s="1"/>
  <c r="C71" i="32"/>
  <c r="W70" i="32"/>
  <c r="T70" i="32"/>
  <c r="Q70" i="32"/>
  <c r="N70" i="32"/>
  <c r="M70" i="32"/>
  <c r="J70" i="32"/>
  <c r="H70" i="32"/>
  <c r="E70" i="32"/>
  <c r="F70" i="32" s="1"/>
  <c r="C70" i="32"/>
  <c r="W69" i="32"/>
  <c r="T69" i="32"/>
  <c r="Q69" i="32"/>
  <c r="N69" i="32"/>
  <c r="M69" i="32"/>
  <c r="J69" i="32"/>
  <c r="H69" i="32"/>
  <c r="E69" i="32"/>
  <c r="F69" i="32" s="1"/>
  <c r="C69" i="32"/>
  <c r="W68" i="32"/>
  <c r="T68" i="32"/>
  <c r="Q68" i="32"/>
  <c r="N68" i="32"/>
  <c r="M68" i="32"/>
  <c r="X68" i="32" s="1"/>
  <c r="J68" i="32"/>
  <c r="H68" i="32"/>
  <c r="E68" i="32"/>
  <c r="F68" i="32" s="1"/>
  <c r="C68" i="32"/>
  <c r="W67" i="32"/>
  <c r="T67" i="32"/>
  <c r="Q67" i="32"/>
  <c r="N67" i="32"/>
  <c r="M67" i="32"/>
  <c r="J67" i="32"/>
  <c r="H67" i="32"/>
  <c r="E67" i="32"/>
  <c r="F67" i="32" s="1"/>
  <c r="C67" i="32"/>
  <c r="W66" i="32"/>
  <c r="T66" i="32"/>
  <c r="Q66" i="32"/>
  <c r="N66" i="32"/>
  <c r="M66" i="32"/>
  <c r="J66" i="32"/>
  <c r="H66" i="32"/>
  <c r="E66" i="32"/>
  <c r="F66" i="32" s="1"/>
  <c r="C66" i="32"/>
  <c r="W65" i="32"/>
  <c r="T65" i="32"/>
  <c r="Q65" i="32"/>
  <c r="N65" i="32"/>
  <c r="M65" i="32"/>
  <c r="J65" i="32"/>
  <c r="H65" i="32"/>
  <c r="E65" i="32"/>
  <c r="F65" i="32" s="1"/>
  <c r="C65" i="32"/>
  <c r="W64" i="32"/>
  <c r="T64" i="32"/>
  <c r="Q64" i="32"/>
  <c r="N64" i="32"/>
  <c r="M64" i="32"/>
  <c r="J64" i="32"/>
  <c r="H64" i="32"/>
  <c r="E64" i="32"/>
  <c r="F64" i="32" s="1"/>
  <c r="C64" i="32"/>
  <c r="W63" i="32"/>
  <c r="T63" i="32"/>
  <c r="Q63" i="32"/>
  <c r="N63" i="32"/>
  <c r="M63" i="32"/>
  <c r="X63" i="32" s="1"/>
  <c r="J63" i="32"/>
  <c r="H63" i="32"/>
  <c r="E63" i="32"/>
  <c r="F63" i="32" s="1"/>
  <c r="C63" i="32"/>
  <c r="W62" i="32"/>
  <c r="T62" i="32"/>
  <c r="Q62" i="32"/>
  <c r="N62" i="32"/>
  <c r="M62" i="32"/>
  <c r="X62" i="32" s="1"/>
  <c r="J62" i="32"/>
  <c r="H62" i="32"/>
  <c r="E62" i="32"/>
  <c r="F62" i="32" s="1"/>
  <c r="C62" i="32"/>
  <c r="W61" i="32"/>
  <c r="T61" i="32"/>
  <c r="Q61" i="32"/>
  <c r="N61" i="32"/>
  <c r="M61" i="32"/>
  <c r="J61" i="32"/>
  <c r="H61" i="32"/>
  <c r="E61" i="32"/>
  <c r="F61" i="32" s="1"/>
  <c r="C61" i="32"/>
  <c r="W60" i="32"/>
  <c r="T60" i="32"/>
  <c r="Q60" i="32"/>
  <c r="N60" i="32"/>
  <c r="M60" i="32"/>
  <c r="J60" i="32"/>
  <c r="H60" i="32"/>
  <c r="E60" i="32"/>
  <c r="F60" i="32" s="1"/>
  <c r="C60" i="32"/>
  <c r="W59" i="32"/>
  <c r="T59" i="32"/>
  <c r="Q59" i="32"/>
  <c r="N59" i="32"/>
  <c r="M59" i="32"/>
  <c r="X59" i="32" s="1"/>
  <c r="J59" i="32"/>
  <c r="H59" i="32"/>
  <c r="E59" i="32"/>
  <c r="F59" i="32" s="1"/>
  <c r="C59" i="32"/>
  <c r="W58" i="32"/>
  <c r="T58" i="32"/>
  <c r="Q58" i="32"/>
  <c r="N58" i="32"/>
  <c r="M58" i="32"/>
  <c r="J58" i="32"/>
  <c r="H58" i="32"/>
  <c r="E58" i="32"/>
  <c r="F58" i="32" s="1"/>
  <c r="C58" i="32"/>
  <c r="W57" i="32"/>
  <c r="T57" i="32"/>
  <c r="Q57" i="32"/>
  <c r="N57" i="32"/>
  <c r="M57" i="32"/>
  <c r="J57" i="32"/>
  <c r="H57" i="32"/>
  <c r="E57" i="32"/>
  <c r="F57" i="32" s="1"/>
  <c r="C57" i="32"/>
  <c r="W56" i="32"/>
  <c r="T56" i="32"/>
  <c r="Q56" i="32"/>
  <c r="N56" i="32"/>
  <c r="M56" i="32"/>
  <c r="J56" i="32"/>
  <c r="H56" i="32"/>
  <c r="E56" i="32"/>
  <c r="F56" i="32" s="1"/>
  <c r="C56" i="32"/>
  <c r="W55" i="32"/>
  <c r="T55" i="32"/>
  <c r="Q55" i="32"/>
  <c r="N55" i="32"/>
  <c r="M55" i="32"/>
  <c r="J55" i="32"/>
  <c r="H55" i="32"/>
  <c r="E55" i="32"/>
  <c r="F55" i="32" s="1"/>
  <c r="C55" i="32"/>
  <c r="W54" i="32"/>
  <c r="T54" i="32"/>
  <c r="Q54" i="32"/>
  <c r="N54" i="32"/>
  <c r="M54" i="32"/>
  <c r="X54" i="32" s="1"/>
  <c r="J54" i="32"/>
  <c r="H54" i="32"/>
  <c r="E54" i="32"/>
  <c r="F54" i="32" s="1"/>
  <c r="C54" i="32"/>
  <c r="W53" i="32"/>
  <c r="T53" i="32"/>
  <c r="Q53" i="32"/>
  <c r="N53" i="32"/>
  <c r="M53" i="32"/>
  <c r="X53" i="32" s="1"/>
  <c r="J53" i="32"/>
  <c r="H53" i="32"/>
  <c r="E53" i="32"/>
  <c r="F53" i="32" s="1"/>
  <c r="C53" i="32"/>
  <c r="W52" i="32"/>
  <c r="T52" i="32"/>
  <c r="Q52" i="32"/>
  <c r="N52" i="32"/>
  <c r="M52" i="32"/>
  <c r="J52" i="32"/>
  <c r="H52" i="32"/>
  <c r="E52" i="32"/>
  <c r="F52" i="32" s="1"/>
  <c r="C52" i="32"/>
  <c r="W51" i="32"/>
  <c r="T51" i="32"/>
  <c r="Q51" i="32"/>
  <c r="N51" i="32"/>
  <c r="M51" i="32"/>
  <c r="J51" i="32"/>
  <c r="H51" i="32"/>
  <c r="E51" i="32"/>
  <c r="F51" i="32" s="1"/>
  <c r="C51" i="32"/>
  <c r="W50" i="32"/>
  <c r="T50" i="32"/>
  <c r="Q50" i="32"/>
  <c r="N50" i="32"/>
  <c r="M50" i="32"/>
  <c r="J50" i="32"/>
  <c r="H50" i="32"/>
  <c r="E50" i="32"/>
  <c r="F50" i="32" s="1"/>
  <c r="K50" i="32" s="1"/>
  <c r="C50" i="32"/>
  <c r="W49" i="32"/>
  <c r="T49" i="32"/>
  <c r="Q49" i="32"/>
  <c r="N49" i="32"/>
  <c r="M49" i="32"/>
  <c r="J49" i="32"/>
  <c r="H49" i="32"/>
  <c r="E49" i="32"/>
  <c r="F49" i="32" s="1"/>
  <c r="C49" i="32"/>
  <c r="W48" i="32"/>
  <c r="T48" i="32"/>
  <c r="Q48" i="32"/>
  <c r="N48" i="32"/>
  <c r="M48" i="32"/>
  <c r="J48" i="32"/>
  <c r="H48" i="32"/>
  <c r="E48" i="32"/>
  <c r="F48" i="32" s="1"/>
  <c r="C48" i="32"/>
  <c r="W47" i="32"/>
  <c r="T47" i="32"/>
  <c r="Q47" i="32"/>
  <c r="N47" i="32"/>
  <c r="M47" i="32"/>
  <c r="J47" i="32"/>
  <c r="H47" i="32"/>
  <c r="E47" i="32"/>
  <c r="F47" i="32" s="1"/>
  <c r="C47" i="32"/>
  <c r="W46" i="32"/>
  <c r="T46" i="32"/>
  <c r="Q46" i="32"/>
  <c r="N46" i="32"/>
  <c r="M46" i="32"/>
  <c r="J46" i="32"/>
  <c r="H46" i="32"/>
  <c r="E46" i="32"/>
  <c r="F46" i="32" s="1"/>
  <c r="C46" i="32"/>
  <c r="W45" i="32"/>
  <c r="T45" i="32"/>
  <c r="Q45" i="32"/>
  <c r="N45" i="32"/>
  <c r="M45" i="32"/>
  <c r="J45" i="32"/>
  <c r="H45" i="32"/>
  <c r="E45" i="32"/>
  <c r="F45" i="32" s="1"/>
  <c r="C45" i="32"/>
  <c r="W44" i="32"/>
  <c r="T44" i="32"/>
  <c r="Q44" i="32"/>
  <c r="N44" i="32"/>
  <c r="M44" i="32"/>
  <c r="J44" i="32"/>
  <c r="H44" i="32"/>
  <c r="E44" i="32"/>
  <c r="F44" i="32" s="1"/>
  <c r="C44" i="32"/>
  <c r="W43" i="32"/>
  <c r="T43" i="32"/>
  <c r="Q43" i="32"/>
  <c r="N43" i="32"/>
  <c r="M43" i="32"/>
  <c r="J43" i="32"/>
  <c r="H43" i="32"/>
  <c r="E43" i="32"/>
  <c r="F43" i="32" s="1"/>
  <c r="C43" i="32"/>
  <c r="W42" i="32"/>
  <c r="T42" i="32"/>
  <c r="Q42" i="32"/>
  <c r="N42" i="32"/>
  <c r="M42" i="32"/>
  <c r="X42" i="32" s="1"/>
  <c r="J42" i="32"/>
  <c r="H42" i="32"/>
  <c r="E42" i="32"/>
  <c r="F42" i="32" s="1"/>
  <c r="C42" i="32"/>
  <c r="W41" i="32"/>
  <c r="T41" i="32"/>
  <c r="Q41" i="32"/>
  <c r="N41" i="32"/>
  <c r="M41" i="32"/>
  <c r="X41" i="32" s="1"/>
  <c r="J41" i="32"/>
  <c r="H41" i="32"/>
  <c r="E41" i="32"/>
  <c r="F41" i="32" s="1"/>
  <c r="C41" i="32"/>
  <c r="W40" i="32"/>
  <c r="T40" i="32"/>
  <c r="Q40" i="32"/>
  <c r="N40" i="32"/>
  <c r="M40" i="32"/>
  <c r="J40" i="32"/>
  <c r="H40" i="32"/>
  <c r="E40" i="32"/>
  <c r="F40" i="32" s="1"/>
  <c r="C40" i="32"/>
  <c r="W39" i="32"/>
  <c r="T39" i="32"/>
  <c r="Q39" i="32"/>
  <c r="N39" i="32"/>
  <c r="M39" i="32"/>
  <c r="J39" i="32"/>
  <c r="H39" i="32"/>
  <c r="E39" i="32"/>
  <c r="F39" i="32" s="1"/>
  <c r="C39" i="32"/>
  <c r="W38" i="32"/>
  <c r="T38" i="32"/>
  <c r="Q38" i="32"/>
  <c r="N38" i="32"/>
  <c r="M38" i="32"/>
  <c r="J38" i="32"/>
  <c r="H38" i="32"/>
  <c r="E38" i="32"/>
  <c r="F38" i="32" s="1"/>
  <c r="C38" i="32"/>
  <c r="W37" i="32"/>
  <c r="T37" i="32"/>
  <c r="Q37" i="32"/>
  <c r="N37" i="32"/>
  <c r="M37" i="32"/>
  <c r="J37" i="32"/>
  <c r="H37" i="32"/>
  <c r="E37" i="32"/>
  <c r="F37" i="32" s="1"/>
  <c r="C37" i="32"/>
  <c r="W36" i="32"/>
  <c r="T36" i="32"/>
  <c r="Q36" i="32"/>
  <c r="N36" i="32"/>
  <c r="M36" i="32"/>
  <c r="X36" i="32" s="1"/>
  <c r="J36" i="32"/>
  <c r="H36" i="32"/>
  <c r="E36" i="32"/>
  <c r="F36" i="32" s="1"/>
  <c r="C36" i="32"/>
  <c r="W35" i="32"/>
  <c r="T35" i="32"/>
  <c r="Q35" i="32"/>
  <c r="N35" i="32"/>
  <c r="M35" i="32"/>
  <c r="J35" i="32"/>
  <c r="H35" i="32"/>
  <c r="E35" i="32"/>
  <c r="F35" i="32" s="1"/>
  <c r="C35" i="32"/>
  <c r="W34" i="32"/>
  <c r="T34" i="32"/>
  <c r="Q34" i="32"/>
  <c r="N34" i="32"/>
  <c r="M34" i="32"/>
  <c r="J34" i="32"/>
  <c r="H34" i="32"/>
  <c r="E34" i="32"/>
  <c r="F34" i="32" s="1"/>
  <c r="C34" i="32"/>
  <c r="W33" i="32"/>
  <c r="T33" i="32"/>
  <c r="Q33" i="32"/>
  <c r="N33" i="32"/>
  <c r="M33" i="32"/>
  <c r="X33" i="32" s="1"/>
  <c r="J33" i="32"/>
  <c r="H33" i="32"/>
  <c r="E33" i="32"/>
  <c r="F33" i="32" s="1"/>
  <c r="C33" i="32"/>
  <c r="W32" i="32"/>
  <c r="T32" i="32"/>
  <c r="Q32" i="32"/>
  <c r="N32" i="32"/>
  <c r="M32" i="32"/>
  <c r="J32" i="32"/>
  <c r="H32" i="32"/>
  <c r="E32" i="32"/>
  <c r="F32" i="32" s="1"/>
  <c r="C32" i="32"/>
  <c r="W31" i="32"/>
  <c r="T31" i="32"/>
  <c r="Q31" i="32"/>
  <c r="N31" i="32"/>
  <c r="M31" i="32"/>
  <c r="J31" i="32"/>
  <c r="H31" i="32"/>
  <c r="E31" i="32"/>
  <c r="F31" i="32" s="1"/>
  <c r="C31" i="32"/>
  <c r="W30" i="32"/>
  <c r="T30" i="32"/>
  <c r="Q30" i="32"/>
  <c r="N30" i="32"/>
  <c r="M30" i="32"/>
  <c r="X30" i="32" s="1"/>
  <c r="J30" i="32"/>
  <c r="H30" i="32"/>
  <c r="E30" i="32"/>
  <c r="F30" i="32" s="1"/>
  <c r="K30" i="32" s="1"/>
  <c r="C30" i="32"/>
  <c r="W29" i="32"/>
  <c r="T29" i="32"/>
  <c r="Q29" i="32"/>
  <c r="N29" i="32"/>
  <c r="M29" i="32"/>
  <c r="J29" i="32"/>
  <c r="H29" i="32"/>
  <c r="E29" i="32"/>
  <c r="F29" i="32" s="1"/>
  <c r="C29" i="32"/>
  <c r="W28" i="32"/>
  <c r="T28" i="32"/>
  <c r="Q28" i="32"/>
  <c r="N28" i="32"/>
  <c r="M28" i="32"/>
  <c r="J28" i="32"/>
  <c r="H28" i="32"/>
  <c r="E28" i="32"/>
  <c r="F28" i="32" s="1"/>
  <c r="C28" i="32"/>
  <c r="W27" i="32"/>
  <c r="T27" i="32"/>
  <c r="Q27" i="32"/>
  <c r="N27" i="32"/>
  <c r="M27" i="32"/>
  <c r="J27" i="32"/>
  <c r="H27" i="32"/>
  <c r="E27" i="32"/>
  <c r="F27" i="32" s="1"/>
  <c r="C27" i="32"/>
  <c r="W26" i="32"/>
  <c r="T26" i="32"/>
  <c r="Q26" i="32"/>
  <c r="N26" i="32"/>
  <c r="M26" i="32"/>
  <c r="J26" i="32"/>
  <c r="H26" i="32"/>
  <c r="E26" i="32"/>
  <c r="F26" i="32" s="1"/>
  <c r="C26" i="32"/>
  <c r="W25" i="32"/>
  <c r="T25" i="32"/>
  <c r="Q25" i="32"/>
  <c r="N25" i="32"/>
  <c r="M25" i="32"/>
  <c r="J25" i="32"/>
  <c r="H25" i="32"/>
  <c r="E25" i="32"/>
  <c r="F25" i="32" s="1"/>
  <c r="C25" i="32"/>
  <c r="W24" i="32"/>
  <c r="T24" i="32"/>
  <c r="Q24" i="32"/>
  <c r="N24" i="32"/>
  <c r="M24" i="32"/>
  <c r="J24" i="32"/>
  <c r="H24" i="32"/>
  <c r="E24" i="32"/>
  <c r="F24" i="32" s="1"/>
  <c r="C24" i="32"/>
  <c r="W23" i="32"/>
  <c r="T23" i="32"/>
  <c r="Q23" i="32"/>
  <c r="N23" i="32"/>
  <c r="M23" i="32"/>
  <c r="J23" i="32"/>
  <c r="H23" i="32"/>
  <c r="E23" i="32"/>
  <c r="F23" i="32" s="1"/>
  <c r="C23" i="32"/>
  <c r="W22" i="32"/>
  <c r="T22" i="32"/>
  <c r="Q22" i="32"/>
  <c r="N22" i="32"/>
  <c r="M22" i="32"/>
  <c r="X22" i="32" s="1"/>
  <c r="J22" i="32"/>
  <c r="H22" i="32"/>
  <c r="E22" i="32"/>
  <c r="F22" i="32" s="1"/>
  <c r="C22" i="32"/>
  <c r="W21" i="32"/>
  <c r="T21" i="32"/>
  <c r="Q21" i="32"/>
  <c r="N21" i="32"/>
  <c r="M21" i="32"/>
  <c r="J21" i="32"/>
  <c r="H21" i="32"/>
  <c r="E21" i="32"/>
  <c r="F21" i="32" s="1"/>
  <c r="C21" i="32"/>
  <c r="W20" i="32"/>
  <c r="T20" i="32"/>
  <c r="Q20" i="32"/>
  <c r="N20" i="32"/>
  <c r="M20" i="32"/>
  <c r="J20" i="32"/>
  <c r="H20" i="32"/>
  <c r="E20" i="32"/>
  <c r="F20" i="32" s="1"/>
  <c r="C20" i="32"/>
  <c r="W19" i="32"/>
  <c r="T19" i="32"/>
  <c r="Q19" i="32"/>
  <c r="N19" i="32"/>
  <c r="M19" i="32"/>
  <c r="J19" i="32"/>
  <c r="H19" i="32"/>
  <c r="E19" i="32"/>
  <c r="F19" i="32" s="1"/>
  <c r="C19" i="32"/>
  <c r="W18" i="32"/>
  <c r="T18" i="32"/>
  <c r="Q18" i="32"/>
  <c r="N18" i="32"/>
  <c r="M18" i="32"/>
  <c r="J18" i="32"/>
  <c r="H18" i="32"/>
  <c r="E18" i="32"/>
  <c r="F18" i="32" s="1"/>
  <c r="C18" i="32"/>
  <c r="W17" i="32"/>
  <c r="T17" i="32"/>
  <c r="Q17" i="32"/>
  <c r="N17" i="32"/>
  <c r="M17" i="32"/>
  <c r="J17" i="32"/>
  <c r="H17" i="32"/>
  <c r="E17" i="32"/>
  <c r="F17" i="32" s="1"/>
  <c r="C17" i="32"/>
  <c r="W16" i="32"/>
  <c r="T16" i="32"/>
  <c r="Q16" i="32"/>
  <c r="N16" i="32"/>
  <c r="M16" i="32"/>
  <c r="X16" i="32" s="1"/>
  <c r="J16" i="32"/>
  <c r="H16" i="32"/>
  <c r="E16" i="32"/>
  <c r="F16" i="32" s="1"/>
  <c r="C16" i="32"/>
  <c r="W15" i="32"/>
  <c r="T15" i="32"/>
  <c r="Q15" i="32"/>
  <c r="N15" i="32"/>
  <c r="M15" i="32"/>
  <c r="J15" i="32"/>
  <c r="H15" i="32"/>
  <c r="E15" i="32"/>
  <c r="F15" i="32" s="1"/>
  <c r="K15" i="32" s="1"/>
  <c r="C15" i="32"/>
  <c r="W14" i="32"/>
  <c r="T14" i="32"/>
  <c r="Q14" i="32"/>
  <c r="N14" i="32"/>
  <c r="M14" i="32"/>
  <c r="J14" i="32"/>
  <c r="H14" i="32"/>
  <c r="E14" i="32"/>
  <c r="F14" i="32" s="1"/>
  <c r="C14" i="32"/>
  <c r="W13" i="32"/>
  <c r="T13" i="32"/>
  <c r="Q13" i="32"/>
  <c r="N13" i="32"/>
  <c r="M13" i="32"/>
  <c r="X13" i="32" s="1"/>
  <c r="J13" i="32"/>
  <c r="H13" i="32"/>
  <c r="E13" i="32"/>
  <c r="F13" i="32" s="1"/>
  <c r="C13" i="32"/>
  <c r="W12" i="32"/>
  <c r="T12" i="32"/>
  <c r="Q12" i="32"/>
  <c r="N12" i="32"/>
  <c r="M12" i="32"/>
  <c r="J12" i="32"/>
  <c r="H12" i="32"/>
  <c r="E12" i="32"/>
  <c r="F12" i="32" s="1"/>
  <c r="K12" i="32" s="1"/>
  <c r="O12" i="32" s="1"/>
  <c r="P12" i="32" s="1"/>
  <c r="C12" i="32"/>
  <c r="W11" i="32"/>
  <c r="T11" i="32"/>
  <c r="Q11" i="32"/>
  <c r="N11" i="32"/>
  <c r="M11" i="32"/>
  <c r="J11" i="32"/>
  <c r="H11" i="32"/>
  <c r="E11" i="32"/>
  <c r="F11" i="32" s="1"/>
  <c r="C11" i="32"/>
  <c r="W10" i="32"/>
  <c r="T10" i="32"/>
  <c r="Q10" i="32"/>
  <c r="N10" i="32"/>
  <c r="M10" i="32"/>
  <c r="J10" i="32"/>
  <c r="H10" i="32"/>
  <c r="E10" i="32"/>
  <c r="F10" i="32" s="1"/>
  <c r="C10" i="32"/>
  <c r="W9" i="32"/>
  <c r="T9" i="32"/>
  <c r="Q9" i="32"/>
  <c r="N9" i="32"/>
  <c r="M9" i="32"/>
  <c r="J9" i="32"/>
  <c r="H9" i="32"/>
  <c r="E9" i="32"/>
  <c r="F9" i="32" s="1"/>
  <c r="C9" i="32"/>
  <c r="W8" i="32"/>
  <c r="T8" i="32"/>
  <c r="Q8" i="32"/>
  <c r="N8" i="32"/>
  <c r="M8" i="32"/>
  <c r="J8" i="32"/>
  <c r="H8" i="32"/>
  <c r="E8" i="32"/>
  <c r="F8" i="32" s="1"/>
  <c r="C8" i="32"/>
  <c r="W7" i="32"/>
  <c r="T7" i="32"/>
  <c r="Q7" i="32"/>
  <c r="N7" i="32"/>
  <c r="M7" i="32"/>
  <c r="X7" i="32" s="1"/>
  <c r="J7" i="32"/>
  <c r="H7" i="32"/>
  <c r="E7" i="32"/>
  <c r="F7" i="32" s="1"/>
  <c r="C7" i="32"/>
  <c r="W6" i="32"/>
  <c r="T6" i="32"/>
  <c r="Q6" i="32"/>
  <c r="N6" i="32"/>
  <c r="M6" i="32"/>
  <c r="J6" i="32"/>
  <c r="H6" i="32"/>
  <c r="E6" i="32"/>
  <c r="F6" i="32" s="1"/>
  <c r="K6" i="32" s="1"/>
  <c r="C6" i="32"/>
  <c r="W5" i="32"/>
  <c r="T5" i="32"/>
  <c r="Q5" i="32"/>
  <c r="N5" i="32"/>
  <c r="M5" i="32"/>
  <c r="X5" i="32" s="1"/>
  <c r="J5" i="32"/>
  <c r="H5" i="32"/>
  <c r="E5" i="32"/>
  <c r="F5" i="32" s="1"/>
  <c r="C5" i="32"/>
  <c r="W4" i="32"/>
  <c r="T4" i="32"/>
  <c r="Q4" i="32"/>
  <c r="N4" i="32"/>
  <c r="M4" i="32"/>
  <c r="X4" i="32" s="1"/>
  <c r="J4" i="32"/>
  <c r="H4" i="32"/>
  <c r="E4" i="32"/>
  <c r="F4" i="32" s="1"/>
  <c r="C4" i="32"/>
  <c r="W3" i="32"/>
  <c r="T3" i="32"/>
  <c r="Q3" i="32"/>
  <c r="N3" i="32"/>
  <c r="M3" i="32"/>
  <c r="J3" i="32"/>
  <c r="H3" i="32"/>
  <c r="E3" i="32"/>
  <c r="F3" i="32" s="1"/>
  <c r="C3" i="32"/>
  <c r="W2" i="32"/>
  <c r="T2" i="32"/>
  <c r="Q2" i="32"/>
  <c r="N2" i="32"/>
  <c r="M2" i="32"/>
  <c r="J2" i="32"/>
  <c r="H2" i="32"/>
  <c r="E2" i="32"/>
  <c r="F2" i="32" s="1"/>
  <c r="K2" i="32" s="1"/>
  <c r="C2" i="32"/>
  <c r="Y152" i="31"/>
  <c r="X152" i="31"/>
  <c r="X85" i="32" l="1"/>
  <c r="K77" i="32"/>
  <c r="K66" i="32"/>
  <c r="K18" i="32"/>
  <c r="K42" i="32"/>
  <c r="K62" i="32"/>
  <c r="K65" i="32"/>
  <c r="K19" i="32"/>
  <c r="K21" i="32"/>
  <c r="K38" i="32"/>
  <c r="K78" i="32"/>
  <c r="O78" i="32" s="1"/>
  <c r="P78" i="32" s="1"/>
  <c r="K90" i="32"/>
  <c r="O90" i="32" s="1"/>
  <c r="P90" i="32" s="1"/>
  <c r="X39" i="32"/>
  <c r="K54" i="32"/>
  <c r="K8" i="32"/>
  <c r="O8" i="32" s="1"/>
  <c r="P8" i="32" s="1"/>
  <c r="X51" i="32"/>
  <c r="X38" i="32"/>
  <c r="K53" i="32"/>
  <c r="O53" i="32" s="1"/>
  <c r="P53" i="32" s="1"/>
  <c r="X78" i="32"/>
  <c r="X12" i="32"/>
  <c r="X18" i="32"/>
  <c r="K23" i="32"/>
  <c r="X50" i="32"/>
  <c r="X58" i="32"/>
  <c r="X84" i="32"/>
  <c r="K3" i="32"/>
  <c r="O3" i="32" s="1"/>
  <c r="P3" i="32" s="1"/>
  <c r="X9" i="32"/>
  <c r="X32" i="32"/>
  <c r="X72" i="32"/>
  <c r="X104" i="32"/>
  <c r="X26" i="32"/>
  <c r="X46" i="32"/>
  <c r="K74" i="32"/>
  <c r="X44" i="32"/>
  <c r="X48" i="32"/>
  <c r="X57" i="32"/>
  <c r="X27" i="32"/>
  <c r="X69" i="32"/>
  <c r="X77" i="32"/>
  <c r="X47" i="32"/>
  <c r="X115" i="32"/>
  <c r="K29" i="32"/>
  <c r="K41" i="32"/>
  <c r="O41" i="32" s="1"/>
  <c r="P41" i="32" s="1"/>
  <c r="K95" i="32"/>
  <c r="O95" i="32" s="1"/>
  <c r="P95" i="32" s="1"/>
  <c r="K101" i="32"/>
  <c r="O101" i="32" s="1"/>
  <c r="P101" i="32" s="1"/>
  <c r="K106" i="32"/>
  <c r="O106" i="32" s="1"/>
  <c r="P106" i="32" s="1"/>
  <c r="K122" i="32"/>
  <c r="K4" i="32"/>
  <c r="K32" i="32"/>
  <c r="K63" i="32"/>
  <c r="O63" i="32" s="1"/>
  <c r="P63" i="32" s="1"/>
  <c r="K89" i="32"/>
  <c r="O89" i="32" s="1"/>
  <c r="P89" i="32" s="1"/>
  <c r="K111" i="32"/>
  <c r="O111" i="32" s="1"/>
  <c r="P111" i="32" s="1"/>
  <c r="K116" i="32"/>
  <c r="K26" i="32"/>
  <c r="O26" i="32" s="1"/>
  <c r="P26" i="32" s="1"/>
  <c r="K94" i="32"/>
  <c r="O94" i="32" s="1"/>
  <c r="P94" i="32" s="1"/>
  <c r="O116" i="32"/>
  <c r="P116" i="32" s="1"/>
  <c r="K105" i="32"/>
  <c r="O105" i="32" s="1"/>
  <c r="P105" i="32" s="1"/>
  <c r="K93" i="32"/>
  <c r="O93" i="32" s="1"/>
  <c r="P93" i="32" s="1"/>
  <c r="K7" i="32"/>
  <c r="O7" i="32" s="1"/>
  <c r="K57" i="32"/>
  <c r="O57" i="32" s="1"/>
  <c r="P57" i="32" s="1"/>
  <c r="K104" i="32"/>
  <c r="O104" i="32" s="1"/>
  <c r="P104" i="32" s="1"/>
  <c r="K120" i="32"/>
  <c r="O120" i="32" s="1"/>
  <c r="P120" i="32" s="1"/>
  <c r="K114" i="32"/>
  <c r="O114" i="32" s="1"/>
  <c r="P114" i="32" s="1"/>
  <c r="X35" i="32"/>
  <c r="K119" i="32"/>
  <c r="K44" i="32"/>
  <c r="K84" i="32"/>
  <c r="K68" i="32"/>
  <c r="O68" i="32" s="1"/>
  <c r="P68" i="32" s="1"/>
  <c r="K83" i="32"/>
  <c r="K125" i="32"/>
  <c r="O125" i="32" s="1"/>
  <c r="P125" i="32" s="1"/>
  <c r="K87" i="32"/>
  <c r="O87" i="32" s="1"/>
  <c r="P87" i="32" s="1"/>
  <c r="K92" i="32"/>
  <c r="O92" i="32" s="1"/>
  <c r="P92" i="32" s="1"/>
  <c r="K98" i="32"/>
  <c r="O98" i="32" s="1"/>
  <c r="P98" i="32" s="1"/>
  <c r="X15" i="32"/>
  <c r="X24" i="32"/>
  <c r="K56" i="32"/>
  <c r="X66" i="32"/>
  <c r="X71" i="32"/>
  <c r="X81" i="32"/>
  <c r="K86" i="32"/>
  <c r="O86" i="32" s="1"/>
  <c r="P86" i="32" s="1"/>
  <c r="K108" i="32"/>
  <c r="K113" i="32"/>
  <c r="O113" i="32" s="1"/>
  <c r="P113" i="32" s="1"/>
  <c r="X119" i="32"/>
  <c r="K110" i="32"/>
  <c r="O110" i="32" s="1"/>
  <c r="P110" i="32" s="1"/>
  <c r="O21" i="32"/>
  <c r="P21" i="32" s="1"/>
  <c r="X29" i="32"/>
  <c r="X34" i="32"/>
  <c r="X45" i="32"/>
  <c r="X56" i="32"/>
  <c r="K75" i="32"/>
  <c r="K43" i="32"/>
  <c r="X20" i="32"/>
  <c r="K9" i="32"/>
  <c r="O9" i="32" s="1"/>
  <c r="P9" i="32" s="1"/>
  <c r="X10" i="32"/>
  <c r="K13" i="32"/>
  <c r="O13" i="32" s="1"/>
  <c r="P13" i="32" s="1"/>
  <c r="K14" i="32"/>
  <c r="O14" i="32" s="1"/>
  <c r="P14" i="32" s="1"/>
  <c r="K55" i="32"/>
  <c r="O55" i="32" s="1"/>
  <c r="P55" i="32" s="1"/>
  <c r="X60" i="32"/>
  <c r="X65" i="32"/>
  <c r="X67" i="32"/>
  <c r="X70" i="32"/>
  <c r="X75" i="32"/>
  <c r="K80" i="32"/>
  <c r="O80" i="32" s="1"/>
  <c r="P80" i="32" s="1"/>
  <c r="K96" i="32"/>
  <c r="O96" i="32" s="1"/>
  <c r="P96" i="32" s="1"/>
  <c r="K102" i="32"/>
  <c r="O102" i="32" s="1"/>
  <c r="P102" i="32" s="1"/>
  <c r="K107" i="32"/>
  <c r="O107" i="32" s="1"/>
  <c r="P107" i="32" s="1"/>
  <c r="K123" i="32"/>
  <c r="O123" i="32" s="1"/>
  <c r="P123" i="32" s="1"/>
  <c r="X97" i="32"/>
  <c r="X8" i="32"/>
  <c r="X79" i="32"/>
  <c r="X86" i="32"/>
  <c r="X103" i="32"/>
  <c r="X124" i="32"/>
  <c r="X17" i="32"/>
  <c r="X91" i="32"/>
  <c r="X2" i="32"/>
  <c r="X21" i="32"/>
  <c r="O122" i="32"/>
  <c r="P122" i="32" s="1"/>
  <c r="X106" i="32"/>
  <c r="X64" i="32"/>
  <c r="X100" i="32"/>
  <c r="X52" i="32"/>
  <c r="X23" i="32"/>
  <c r="X40" i="32"/>
  <c r="X121" i="32"/>
  <c r="X11" i="32"/>
  <c r="X55" i="32"/>
  <c r="X112" i="32"/>
  <c r="X43" i="32"/>
  <c r="X118" i="32"/>
  <c r="X6" i="32"/>
  <c r="X82" i="32"/>
  <c r="X76" i="32"/>
  <c r="X94" i="32"/>
  <c r="X14" i="32"/>
  <c r="X88" i="32"/>
  <c r="O6" i="32"/>
  <c r="P6" i="32" s="1"/>
  <c r="X28" i="32"/>
  <c r="X109" i="32"/>
  <c r="Y12" i="32"/>
  <c r="Z12" i="32" s="1"/>
  <c r="AA12" i="32" s="1"/>
  <c r="Y78" i="32"/>
  <c r="Z78" i="32" s="1"/>
  <c r="AA78" i="32" s="1"/>
  <c r="O15" i="32"/>
  <c r="P15" i="32" s="1"/>
  <c r="K25" i="32"/>
  <c r="O25" i="32" s="1"/>
  <c r="P25" i="32" s="1"/>
  <c r="O30" i="32"/>
  <c r="P30" i="32" s="1"/>
  <c r="K69" i="32"/>
  <c r="K97" i="32"/>
  <c r="O97" i="32" s="1"/>
  <c r="P97" i="32" s="1"/>
  <c r="K17" i="32"/>
  <c r="O17" i="32" s="1"/>
  <c r="P17" i="32" s="1"/>
  <c r="K27" i="32"/>
  <c r="O66" i="32"/>
  <c r="P66" i="32" s="1"/>
  <c r="O77" i="32"/>
  <c r="P77" i="32" s="1"/>
  <c r="K16" i="32"/>
  <c r="O16" i="32" s="1"/>
  <c r="P16" i="32" s="1"/>
  <c r="K39" i="32"/>
  <c r="O39" i="32" s="1"/>
  <c r="P39" i="32" s="1"/>
  <c r="O119" i="32"/>
  <c r="P119" i="32" s="1"/>
  <c r="X25" i="32"/>
  <c r="O29" i="32"/>
  <c r="P29" i="32" s="1"/>
  <c r="K11" i="32"/>
  <c r="O11" i="32" s="1"/>
  <c r="P11" i="32" s="1"/>
  <c r="K33" i="32"/>
  <c r="O33" i="32" s="1"/>
  <c r="P33" i="32" s="1"/>
  <c r="K79" i="32"/>
  <c r="X19" i="32"/>
  <c r="O19" i="32"/>
  <c r="P19" i="32" s="1"/>
  <c r="K31" i="32"/>
  <c r="O31" i="32" s="1"/>
  <c r="P31" i="32" s="1"/>
  <c r="O43" i="32"/>
  <c r="P43" i="32" s="1"/>
  <c r="K5" i="32"/>
  <c r="O5" i="32" s="1"/>
  <c r="P5" i="32" s="1"/>
  <c r="X31" i="32"/>
  <c r="K51" i="32"/>
  <c r="O51" i="32" s="1"/>
  <c r="P51" i="32" s="1"/>
  <c r="O18" i="32"/>
  <c r="P18" i="32" s="1"/>
  <c r="O54" i="32"/>
  <c r="P54" i="32" s="1"/>
  <c r="O65" i="32"/>
  <c r="P65" i="32" s="1"/>
  <c r="K99" i="32"/>
  <c r="O99" i="32" s="1"/>
  <c r="P99" i="32" s="1"/>
  <c r="O42" i="32"/>
  <c r="P42" i="32" s="1"/>
  <c r="X3" i="32"/>
  <c r="K24" i="32"/>
  <c r="O24" i="32" s="1"/>
  <c r="P24" i="32" s="1"/>
  <c r="O2" i="32"/>
  <c r="P2" i="32" s="1"/>
  <c r="K10" i="32"/>
  <c r="O10" i="32" s="1"/>
  <c r="P10" i="32" s="1"/>
  <c r="K45" i="32"/>
  <c r="O45" i="32" s="1"/>
  <c r="P45" i="32" s="1"/>
  <c r="K20" i="32"/>
  <c r="O20" i="32" s="1"/>
  <c r="P20" i="32" s="1"/>
  <c r="K22" i="32"/>
  <c r="O22" i="32" s="1"/>
  <c r="P22" i="32" s="1"/>
  <c r="O23" i="32"/>
  <c r="P23" i="32" s="1"/>
  <c r="K67" i="32"/>
  <c r="O67" i="32" s="1"/>
  <c r="P67" i="32" s="1"/>
  <c r="O79" i="32"/>
  <c r="P79" i="32" s="1"/>
  <c r="X108" i="32"/>
  <c r="O108" i="32"/>
  <c r="P108" i="32" s="1"/>
  <c r="X107" i="32"/>
  <c r="K91" i="32"/>
  <c r="O91" i="32" s="1"/>
  <c r="P91" i="32" s="1"/>
  <c r="X92" i="32"/>
  <c r="X102" i="32"/>
  <c r="X105" i="32"/>
  <c r="K70" i="32"/>
  <c r="O27" i="32"/>
  <c r="P27" i="32" s="1"/>
  <c r="O32" i="32"/>
  <c r="P32" i="32" s="1"/>
  <c r="K35" i="32"/>
  <c r="O35" i="32" s="1"/>
  <c r="P35" i="32" s="1"/>
  <c r="K36" i="32"/>
  <c r="O36" i="32" s="1"/>
  <c r="P36" i="32" s="1"/>
  <c r="K47" i="32"/>
  <c r="O47" i="32" s="1"/>
  <c r="P47" i="32" s="1"/>
  <c r="K48" i="32"/>
  <c r="O48" i="32" s="1"/>
  <c r="P48" i="32" s="1"/>
  <c r="K59" i="32"/>
  <c r="O59" i="32" s="1"/>
  <c r="P59" i="32" s="1"/>
  <c r="K60" i="32"/>
  <c r="O60" i="32" s="1"/>
  <c r="P60" i="32" s="1"/>
  <c r="K71" i="32"/>
  <c r="O71" i="32" s="1"/>
  <c r="P71" i="32" s="1"/>
  <c r="K72" i="32"/>
  <c r="O72" i="32" s="1"/>
  <c r="P72" i="32" s="1"/>
  <c r="O83" i="32"/>
  <c r="P83" i="32" s="1"/>
  <c r="O84" i="32"/>
  <c r="P84" i="32" s="1"/>
  <c r="X101" i="32"/>
  <c r="O4" i="32"/>
  <c r="P4" i="32" s="1"/>
  <c r="O44" i="32"/>
  <c r="P44" i="32" s="1"/>
  <c r="K61" i="32"/>
  <c r="O61" i="32" s="1"/>
  <c r="P61" i="32" s="1"/>
  <c r="O70" i="32"/>
  <c r="P70" i="32" s="1"/>
  <c r="X37" i="32"/>
  <c r="X49" i="32"/>
  <c r="O50" i="32"/>
  <c r="P50" i="32" s="1"/>
  <c r="X61" i="32"/>
  <c r="O62" i="32"/>
  <c r="P62" i="32" s="1"/>
  <c r="O69" i="32"/>
  <c r="P69" i="32" s="1"/>
  <c r="X73" i="32"/>
  <c r="O74" i="32"/>
  <c r="P74" i="32" s="1"/>
  <c r="K88" i="32"/>
  <c r="O88" i="32" s="1"/>
  <c r="P88" i="32" s="1"/>
  <c r="X90" i="32"/>
  <c r="K112" i="32"/>
  <c r="O112" i="32" s="1"/>
  <c r="P112" i="32" s="1"/>
  <c r="K115" i="32"/>
  <c r="O115" i="32" s="1"/>
  <c r="P115" i="32" s="1"/>
  <c r="K124" i="32"/>
  <c r="O124" i="32" s="1"/>
  <c r="P124" i="32" s="1"/>
  <c r="X93" i="32"/>
  <c r="K49" i="32"/>
  <c r="O49" i="32" s="1"/>
  <c r="P49" i="32" s="1"/>
  <c r="O56" i="32"/>
  <c r="P56" i="32" s="1"/>
  <c r="O81" i="32"/>
  <c r="P81" i="32" s="1"/>
  <c r="O38" i="32"/>
  <c r="P38" i="32" s="1"/>
  <c r="O75" i="32"/>
  <c r="P75" i="32" s="1"/>
  <c r="K117" i="32"/>
  <c r="O117" i="32" s="1"/>
  <c r="P117" i="32" s="1"/>
  <c r="K34" i="32"/>
  <c r="O34" i="32" s="1"/>
  <c r="P34" i="32" s="1"/>
  <c r="K46" i="32"/>
  <c r="O46" i="32" s="1"/>
  <c r="P46" i="32" s="1"/>
  <c r="K58" i="32"/>
  <c r="O58" i="32" s="1"/>
  <c r="P58" i="32" s="1"/>
  <c r="K82" i="32"/>
  <c r="O82" i="32" s="1"/>
  <c r="P82" i="32" s="1"/>
  <c r="P126" i="32" s="1"/>
  <c r="K37" i="32"/>
  <c r="O37" i="32" s="1"/>
  <c r="P37" i="32" s="1"/>
  <c r="K73" i="32"/>
  <c r="O73" i="32" s="1"/>
  <c r="P73" i="32" s="1"/>
  <c r="X111" i="32"/>
  <c r="X87" i="32"/>
  <c r="K109" i="32"/>
  <c r="O109" i="32" s="1"/>
  <c r="P109" i="32" s="1"/>
  <c r="X110" i="32"/>
  <c r="X120" i="32"/>
  <c r="X122" i="32"/>
  <c r="Y122" i="32" s="1"/>
  <c r="Z122" i="32" s="1"/>
  <c r="AA122" i="32" s="1"/>
  <c r="X123" i="32"/>
  <c r="X95" i="32"/>
  <c r="X96" i="32"/>
  <c r="X113" i="32"/>
  <c r="X114" i="32"/>
  <c r="K85" i="32"/>
  <c r="O85" i="32" s="1"/>
  <c r="P85" i="32" s="1"/>
  <c r="K100" i="32"/>
  <c r="O100" i="32" s="1"/>
  <c r="P100" i="32" s="1"/>
  <c r="K118" i="32"/>
  <c r="O118" i="32" s="1"/>
  <c r="P118" i="32" s="1"/>
  <c r="K28" i="32"/>
  <c r="O28" i="32" s="1"/>
  <c r="P28" i="32" s="1"/>
  <c r="K40" i="32"/>
  <c r="O40" i="32" s="1"/>
  <c r="P40" i="32" s="1"/>
  <c r="K52" i="32"/>
  <c r="O52" i="32" s="1"/>
  <c r="P52" i="32" s="1"/>
  <c r="K64" i="32"/>
  <c r="O64" i="32" s="1"/>
  <c r="P64" i="32" s="1"/>
  <c r="K76" i="32"/>
  <c r="O76" i="32" s="1"/>
  <c r="P76" i="32" s="1"/>
  <c r="X98" i="32"/>
  <c r="X99" i="32"/>
  <c r="X116" i="32"/>
  <c r="X117" i="32"/>
  <c r="K103" i="32"/>
  <c r="O103" i="32" s="1"/>
  <c r="P103" i="32" s="1"/>
  <c r="K121" i="32"/>
  <c r="O121" i="32" s="1"/>
  <c r="P121" i="32" s="1"/>
  <c r="L83" i="31"/>
  <c r="N83" i="31" s="1"/>
  <c r="M83" i="31"/>
  <c r="O83" i="31"/>
  <c r="R83" i="31"/>
  <c r="U83" i="31"/>
  <c r="V83" i="31"/>
  <c r="W83" i="31"/>
  <c r="X83" i="31"/>
  <c r="Y83" i="31"/>
  <c r="L84" i="31"/>
  <c r="N84" i="31" s="1"/>
  <c r="M84" i="31"/>
  <c r="O84" i="31"/>
  <c r="R84" i="31"/>
  <c r="U84" i="31"/>
  <c r="L85" i="31"/>
  <c r="M85" i="31"/>
  <c r="O85" i="31"/>
  <c r="R85" i="31"/>
  <c r="U85" i="31"/>
  <c r="L86" i="31"/>
  <c r="V86" i="31" s="1"/>
  <c r="M86" i="31"/>
  <c r="N86" i="31"/>
  <c r="W86" i="31" s="1"/>
  <c r="O86" i="31"/>
  <c r="R86" i="31"/>
  <c r="U86" i="31"/>
  <c r="L87" i="31"/>
  <c r="M87" i="31"/>
  <c r="N87" i="31"/>
  <c r="O87" i="31"/>
  <c r="R87" i="31"/>
  <c r="U87" i="31"/>
  <c r="L88" i="31"/>
  <c r="M88" i="31"/>
  <c r="O88" i="31"/>
  <c r="R88" i="31"/>
  <c r="U88" i="31"/>
  <c r="L89" i="31"/>
  <c r="M89" i="31"/>
  <c r="N89" i="31"/>
  <c r="O89" i="31"/>
  <c r="R89" i="31"/>
  <c r="U89" i="31"/>
  <c r="L90" i="31"/>
  <c r="M90" i="31"/>
  <c r="N90" i="31"/>
  <c r="O90" i="31"/>
  <c r="R90" i="31"/>
  <c r="U90" i="31"/>
  <c r="L91" i="31"/>
  <c r="M91" i="31"/>
  <c r="N91" i="31"/>
  <c r="O91" i="31"/>
  <c r="R91" i="31"/>
  <c r="U91" i="31"/>
  <c r="V91" i="31"/>
  <c r="L92" i="31"/>
  <c r="M92" i="31"/>
  <c r="N92" i="31"/>
  <c r="O92" i="31"/>
  <c r="R92" i="31"/>
  <c r="U92" i="31"/>
  <c r="V92" i="31"/>
  <c r="W92" i="31"/>
  <c r="L93" i="31"/>
  <c r="M93" i="31"/>
  <c r="N93" i="31"/>
  <c r="O93" i="31"/>
  <c r="R93" i="31"/>
  <c r="U93" i="31"/>
  <c r="V93" i="31"/>
  <c r="W93" i="31"/>
  <c r="X93" i="31"/>
  <c r="Y93" i="31" s="1"/>
  <c r="L94" i="31"/>
  <c r="M94" i="31"/>
  <c r="N94" i="31"/>
  <c r="O94" i="31"/>
  <c r="R94" i="31"/>
  <c r="U94" i="31"/>
  <c r="V94" i="31"/>
  <c r="W94" i="31"/>
  <c r="X94" i="31"/>
  <c r="Y94" i="31"/>
  <c r="L95" i="31"/>
  <c r="N95" i="31" s="1"/>
  <c r="W95" i="31" s="1"/>
  <c r="M95" i="31"/>
  <c r="O95" i="31"/>
  <c r="R95" i="31"/>
  <c r="U95" i="31"/>
  <c r="V95" i="31"/>
  <c r="L96" i="31"/>
  <c r="N96" i="31" s="1"/>
  <c r="M96" i="31"/>
  <c r="O96" i="31"/>
  <c r="R96" i="31"/>
  <c r="U96" i="31"/>
  <c r="L97" i="31"/>
  <c r="M97" i="31"/>
  <c r="O97" i="31"/>
  <c r="R97" i="31"/>
  <c r="U97" i="31"/>
  <c r="L98" i="31"/>
  <c r="M98" i="31"/>
  <c r="N98" i="31"/>
  <c r="O98" i="31"/>
  <c r="R98" i="31"/>
  <c r="U98" i="31"/>
  <c r="L99" i="31"/>
  <c r="V99" i="31" s="1"/>
  <c r="M99" i="31"/>
  <c r="O99" i="31"/>
  <c r="R99" i="31"/>
  <c r="U99" i="31"/>
  <c r="L100" i="31"/>
  <c r="M100" i="31"/>
  <c r="N100" i="31"/>
  <c r="O100" i="31"/>
  <c r="R100" i="31"/>
  <c r="U100" i="31"/>
  <c r="L101" i="31"/>
  <c r="V101" i="31" s="1"/>
  <c r="M101" i="31"/>
  <c r="N101" i="31"/>
  <c r="O101" i="31"/>
  <c r="R101" i="31"/>
  <c r="U101" i="31"/>
  <c r="L102" i="31"/>
  <c r="M102" i="31"/>
  <c r="N102" i="31"/>
  <c r="O102" i="31"/>
  <c r="R102" i="31"/>
  <c r="U102" i="31"/>
  <c r="L103" i="31"/>
  <c r="M103" i="31"/>
  <c r="N103" i="31"/>
  <c r="O103" i="31"/>
  <c r="R103" i="31"/>
  <c r="U103" i="31"/>
  <c r="V103" i="31"/>
  <c r="L104" i="31"/>
  <c r="M104" i="31"/>
  <c r="N104" i="31"/>
  <c r="O104" i="31"/>
  <c r="R104" i="31"/>
  <c r="U104" i="31"/>
  <c r="V104" i="31"/>
  <c r="W104" i="31"/>
  <c r="L105" i="31"/>
  <c r="M105" i="31"/>
  <c r="N105" i="31"/>
  <c r="O105" i="31"/>
  <c r="R105" i="31"/>
  <c r="U105" i="31"/>
  <c r="V105" i="31"/>
  <c r="W105" i="31"/>
  <c r="X105" i="31"/>
  <c r="Y105" i="31" s="1"/>
  <c r="L106" i="31"/>
  <c r="M106" i="31"/>
  <c r="N106" i="31"/>
  <c r="O106" i="31"/>
  <c r="R106" i="31"/>
  <c r="X106" i="31" s="1"/>
  <c r="Y106" i="31" s="1"/>
  <c r="U106" i="31"/>
  <c r="V106" i="31"/>
  <c r="W106" i="31"/>
  <c r="L107" i="31"/>
  <c r="M107" i="31"/>
  <c r="N107" i="31"/>
  <c r="O107" i="31"/>
  <c r="R107" i="31"/>
  <c r="U107" i="31"/>
  <c r="V107" i="31" s="1"/>
  <c r="W107" i="31" s="1"/>
  <c r="X107" i="31" s="1"/>
  <c r="Y107" i="31" s="1"/>
  <c r="L108" i="31"/>
  <c r="N108" i="31" s="1"/>
  <c r="W108" i="31" s="1"/>
  <c r="M108" i="31"/>
  <c r="O108" i="31"/>
  <c r="R108" i="31"/>
  <c r="U108" i="31"/>
  <c r="V108" i="31"/>
  <c r="L109" i="31"/>
  <c r="M109" i="31"/>
  <c r="O109" i="31"/>
  <c r="R109" i="31"/>
  <c r="U109" i="31"/>
  <c r="L110" i="31"/>
  <c r="V110" i="31" s="1"/>
  <c r="M110" i="31"/>
  <c r="O110" i="31"/>
  <c r="R110" i="31"/>
  <c r="U110" i="31"/>
  <c r="L111" i="31"/>
  <c r="M111" i="31"/>
  <c r="N111" i="31"/>
  <c r="O111" i="31"/>
  <c r="R111" i="31"/>
  <c r="U111" i="31"/>
  <c r="L112" i="31"/>
  <c r="V112" i="31" s="1"/>
  <c r="M112" i="31"/>
  <c r="N112" i="31"/>
  <c r="O112" i="31"/>
  <c r="R112" i="31"/>
  <c r="U112" i="31"/>
  <c r="L113" i="31"/>
  <c r="M113" i="31"/>
  <c r="O113" i="31"/>
  <c r="R113" i="31"/>
  <c r="U113" i="31"/>
  <c r="L114" i="31"/>
  <c r="M114" i="31"/>
  <c r="N114" i="31"/>
  <c r="O114" i="31"/>
  <c r="R114" i="31"/>
  <c r="U114" i="31"/>
  <c r="L115" i="31"/>
  <c r="M115" i="31"/>
  <c r="N115" i="31"/>
  <c r="O115" i="31"/>
  <c r="R115" i="31"/>
  <c r="U115" i="31"/>
  <c r="V115" i="31"/>
  <c r="L116" i="31"/>
  <c r="M116" i="31"/>
  <c r="N116" i="31"/>
  <c r="O116" i="31"/>
  <c r="R116" i="31"/>
  <c r="U116" i="31"/>
  <c r="V116" i="31"/>
  <c r="W116" i="31"/>
  <c r="L117" i="31"/>
  <c r="M117" i="31"/>
  <c r="N117" i="31"/>
  <c r="O117" i="31"/>
  <c r="R117" i="31"/>
  <c r="U117" i="31"/>
  <c r="V117" i="31"/>
  <c r="W117" i="31"/>
  <c r="L118" i="31"/>
  <c r="M118" i="31"/>
  <c r="N118" i="31"/>
  <c r="O118" i="31"/>
  <c r="R118" i="31"/>
  <c r="U118" i="31"/>
  <c r="V118" i="31" s="1"/>
  <c r="W118" i="31" s="1"/>
  <c r="L119" i="31"/>
  <c r="N119" i="31" s="1"/>
  <c r="M119" i="31"/>
  <c r="O119" i="31"/>
  <c r="R119" i="31"/>
  <c r="U119" i="31"/>
  <c r="V119" i="31"/>
  <c r="W119" i="31"/>
  <c r="L120" i="31"/>
  <c r="N120" i="31" s="1"/>
  <c r="M120" i="31"/>
  <c r="O120" i="31"/>
  <c r="R120" i="31"/>
  <c r="U120" i="31"/>
  <c r="V120" i="31"/>
  <c r="W120" i="31"/>
  <c r="X120" i="31" s="1"/>
  <c r="Y120" i="31" s="1"/>
  <c r="L121" i="31"/>
  <c r="M121" i="31"/>
  <c r="O121" i="31"/>
  <c r="R121" i="31"/>
  <c r="U121" i="31"/>
  <c r="L122" i="31"/>
  <c r="M122" i="31"/>
  <c r="N122" i="31"/>
  <c r="O122" i="31"/>
  <c r="R122" i="31"/>
  <c r="U122" i="31"/>
  <c r="L123" i="31"/>
  <c r="M123" i="31"/>
  <c r="N123" i="31"/>
  <c r="O123" i="31"/>
  <c r="R123" i="31"/>
  <c r="U123" i="31"/>
  <c r="L124" i="31"/>
  <c r="M124" i="31"/>
  <c r="N124" i="31"/>
  <c r="O124" i="31"/>
  <c r="R124" i="31"/>
  <c r="U124" i="31"/>
  <c r="L125" i="31"/>
  <c r="M125" i="31"/>
  <c r="N125" i="31"/>
  <c r="O125" i="31"/>
  <c r="R125" i="31"/>
  <c r="U125" i="31"/>
  <c r="L126" i="31"/>
  <c r="M126" i="31"/>
  <c r="N126" i="31"/>
  <c r="O126" i="31"/>
  <c r="R126" i="31"/>
  <c r="U126" i="31"/>
  <c r="L127" i="31"/>
  <c r="M127" i="31"/>
  <c r="N127" i="31"/>
  <c r="O127" i="31"/>
  <c r="R127" i="31"/>
  <c r="U127" i="31"/>
  <c r="V127" i="31" s="1"/>
  <c r="L128" i="31"/>
  <c r="M128" i="31"/>
  <c r="N128" i="31"/>
  <c r="O128" i="31"/>
  <c r="R128" i="31"/>
  <c r="U128" i="31"/>
  <c r="V128" i="31"/>
  <c r="L129" i="31"/>
  <c r="M129" i="31"/>
  <c r="N129" i="31"/>
  <c r="O129" i="31"/>
  <c r="R129" i="31"/>
  <c r="U129" i="31"/>
  <c r="V129" i="31"/>
  <c r="W129" i="31" s="1"/>
  <c r="L130" i="31"/>
  <c r="M130" i="31"/>
  <c r="N130" i="31"/>
  <c r="O130" i="31"/>
  <c r="R130" i="31"/>
  <c r="U130" i="31"/>
  <c r="V130" i="31"/>
  <c r="W130" i="31"/>
  <c r="L131" i="31"/>
  <c r="N131" i="31" s="1"/>
  <c r="M131" i="31"/>
  <c r="O131" i="31"/>
  <c r="R131" i="31"/>
  <c r="U131" i="31"/>
  <c r="V131" i="31"/>
  <c r="W131" i="31"/>
  <c r="X131" i="31" s="1"/>
  <c r="Y131" i="31" s="1"/>
  <c r="L132" i="31"/>
  <c r="N132" i="31" s="1"/>
  <c r="M132" i="31"/>
  <c r="O132" i="31"/>
  <c r="R132" i="31"/>
  <c r="U132" i="31"/>
  <c r="L133" i="31"/>
  <c r="M133" i="31"/>
  <c r="O133" i="31"/>
  <c r="R133" i="31"/>
  <c r="U133" i="31"/>
  <c r="L134" i="31"/>
  <c r="M134" i="31"/>
  <c r="N134" i="31"/>
  <c r="O134" i="31"/>
  <c r="R134" i="31"/>
  <c r="U134" i="31"/>
  <c r="L135" i="31"/>
  <c r="V135" i="31" s="1"/>
  <c r="M135" i="31"/>
  <c r="N135" i="31"/>
  <c r="O135" i="31"/>
  <c r="R135" i="31"/>
  <c r="U135" i="31"/>
  <c r="L136" i="31"/>
  <c r="M136" i="31"/>
  <c r="O136" i="31"/>
  <c r="R136" i="31"/>
  <c r="U136" i="31"/>
  <c r="L137" i="31"/>
  <c r="V137" i="31" s="1"/>
  <c r="M137" i="31"/>
  <c r="N137" i="31"/>
  <c r="O137" i="31"/>
  <c r="R137" i="31"/>
  <c r="U137" i="31"/>
  <c r="L138" i="31"/>
  <c r="M138" i="31"/>
  <c r="N138" i="31"/>
  <c r="O138" i="31"/>
  <c r="R138" i="31"/>
  <c r="U138" i="31"/>
  <c r="L139" i="31"/>
  <c r="M139" i="31"/>
  <c r="N139" i="31"/>
  <c r="O139" i="31"/>
  <c r="R139" i="31"/>
  <c r="U139" i="31"/>
  <c r="V139" i="31"/>
  <c r="L140" i="31"/>
  <c r="M140" i="31"/>
  <c r="N140" i="31"/>
  <c r="O140" i="31"/>
  <c r="R140" i="31"/>
  <c r="U140" i="31"/>
  <c r="V140" i="31"/>
  <c r="L141" i="31"/>
  <c r="M141" i="31"/>
  <c r="N141" i="31"/>
  <c r="O141" i="31"/>
  <c r="R141" i="31"/>
  <c r="U141" i="31"/>
  <c r="V141" i="31"/>
  <c r="W141" i="31"/>
  <c r="X141" i="31"/>
  <c r="Y141" i="31" s="1"/>
  <c r="L142" i="31"/>
  <c r="M142" i="31"/>
  <c r="N142" i="31"/>
  <c r="O142" i="31"/>
  <c r="R142" i="31"/>
  <c r="U142" i="31"/>
  <c r="V142" i="31"/>
  <c r="W142" i="31"/>
  <c r="X142" i="31" s="1"/>
  <c r="Y142" i="31" s="1"/>
  <c r="L143" i="31"/>
  <c r="M143" i="31"/>
  <c r="N143" i="31"/>
  <c r="O143" i="31"/>
  <c r="R143" i="31"/>
  <c r="U143" i="31"/>
  <c r="V143" i="31"/>
  <c r="W143" i="31"/>
  <c r="L144" i="31"/>
  <c r="N144" i="31" s="1"/>
  <c r="M144" i="31"/>
  <c r="O144" i="31"/>
  <c r="R144" i="31"/>
  <c r="U144" i="31"/>
  <c r="L145" i="31"/>
  <c r="M145" i="31"/>
  <c r="O145" i="31"/>
  <c r="R145" i="31"/>
  <c r="U145" i="31"/>
  <c r="L146" i="31"/>
  <c r="V146" i="31" s="1"/>
  <c r="M146" i="31"/>
  <c r="N146" i="31"/>
  <c r="O146" i="31"/>
  <c r="R146" i="31"/>
  <c r="U146" i="31"/>
  <c r="L147" i="31"/>
  <c r="M147" i="31"/>
  <c r="N147" i="31"/>
  <c r="O147" i="31"/>
  <c r="R147" i="31"/>
  <c r="U147" i="31"/>
  <c r="L148" i="31"/>
  <c r="V148" i="31" s="1"/>
  <c r="M148" i="31"/>
  <c r="N148" i="31"/>
  <c r="O148" i="31"/>
  <c r="R148" i="31"/>
  <c r="U148" i="31"/>
  <c r="L149" i="31"/>
  <c r="M149" i="31"/>
  <c r="N149" i="31"/>
  <c r="O149" i="31"/>
  <c r="R149" i="31"/>
  <c r="U149" i="31"/>
  <c r="B83" i="31"/>
  <c r="D83" i="31"/>
  <c r="E83" i="31" s="1"/>
  <c r="J83" i="31" s="1"/>
  <c r="G83" i="31"/>
  <c r="I83" i="31"/>
  <c r="B84" i="31"/>
  <c r="D84" i="31"/>
  <c r="E84" i="31"/>
  <c r="G84" i="31"/>
  <c r="I84" i="31"/>
  <c r="J84" i="31"/>
  <c r="B85" i="31"/>
  <c r="D85" i="31"/>
  <c r="E85" i="31" s="1"/>
  <c r="J85" i="31" s="1"/>
  <c r="G85" i="31"/>
  <c r="I85" i="31"/>
  <c r="B86" i="31"/>
  <c r="D86" i="31"/>
  <c r="E86" i="31"/>
  <c r="G86" i="31"/>
  <c r="I86" i="31"/>
  <c r="J86" i="31"/>
  <c r="B87" i="31"/>
  <c r="D87" i="31"/>
  <c r="E87" i="31" s="1"/>
  <c r="J87" i="31" s="1"/>
  <c r="G87" i="31"/>
  <c r="I87" i="31"/>
  <c r="B88" i="31"/>
  <c r="D88" i="31"/>
  <c r="E88" i="31"/>
  <c r="G88" i="31"/>
  <c r="I88" i="31"/>
  <c r="J88" i="31"/>
  <c r="B89" i="31"/>
  <c r="D89" i="31"/>
  <c r="E89" i="31" s="1"/>
  <c r="J89" i="31" s="1"/>
  <c r="G89" i="31"/>
  <c r="I89" i="31"/>
  <c r="B90" i="31"/>
  <c r="D90" i="31"/>
  <c r="E90" i="31"/>
  <c r="G90" i="31"/>
  <c r="I90" i="31"/>
  <c r="J90" i="31"/>
  <c r="B91" i="31"/>
  <c r="D91" i="31"/>
  <c r="E91" i="31" s="1"/>
  <c r="J91" i="31" s="1"/>
  <c r="G91" i="31"/>
  <c r="I91" i="31"/>
  <c r="B92" i="31"/>
  <c r="D92" i="31"/>
  <c r="E92" i="31"/>
  <c r="G92" i="31"/>
  <c r="I92" i="31"/>
  <c r="J92" i="31"/>
  <c r="B93" i="31"/>
  <c r="D93" i="31"/>
  <c r="E93" i="31" s="1"/>
  <c r="J93" i="31" s="1"/>
  <c r="G93" i="31"/>
  <c r="I93" i="31"/>
  <c r="B94" i="31"/>
  <c r="D94" i="31"/>
  <c r="E94" i="31"/>
  <c r="G94" i="31"/>
  <c r="I94" i="31"/>
  <c r="J94" i="31"/>
  <c r="B95" i="31"/>
  <c r="D95" i="31"/>
  <c r="E95" i="31" s="1"/>
  <c r="J95" i="31" s="1"/>
  <c r="G95" i="31"/>
  <c r="I95" i="31"/>
  <c r="B96" i="31"/>
  <c r="D96" i="31"/>
  <c r="E96" i="31"/>
  <c r="G96" i="31"/>
  <c r="I96" i="31"/>
  <c r="J96" i="31"/>
  <c r="B97" i="31"/>
  <c r="D97" i="31"/>
  <c r="E97" i="31" s="1"/>
  <c r="J97" i="31" s="1"/>
  <c r="G97" i="31"/>
  <c r="I97" i="31"/>
  <c r="B98" i="31"/>
  <c r="D98" i="31"/>
  <c r="E98" i="31"/>
  <c r="G98" i="31"/>
  <c r="I98" i="31"/>
  <c r="J98" i="31"/>
  <c r="B99" i="31"/>
  <c r="D99" i="31"/>
  <c r="E99" i="31" s="1"/>
  <c r="J99" i="31" s="1"/>
  <c r="G99" i="31"/>
  <c r="I99" i="31"/>
  <c r="B100" i="31"/>
  <c r="D100" i="31"/>
  <c r="E100" i="31"/>
  <c r="G100" i="31"/>
  <c r="I100" i="31"/>
  <c r="J100" i="31"/>
  <c r="B101" i="31"/>
  <c r="D101" i="31"/>
  <c r="E101" i="31" s="1"/>
  <c r="J101" i="31" s="1"/>
  <c r="G101" i="31"/>
  <c r="I101" i="31"/>
  <c r="B102" i="31"/>
  <c r="D102" i="31"/>
  <c r="E102" i="31"/>
  <c r="G102" i="31"/>
  <c r="I102" i="31"/>
  <c r="J102" i="31"/>
  <c r="B103" i="31"/>
  <c r="D103" i="31"/>
  <c r="E103" i="31" s="1"/>
  <c r="J103" i="31" s="1"/>
  <c r="G103" i="31"/>
  <c r="I103" i="31"/>
  <c r="B104" i="31"/>
  <c r="D104" i="31"/>
  <c r="E104" i="31"/>
  <c r="G104" i="31"/>
  <c r="I104" i="31"/>
  <c r="J104" i="31"/>
  <c r="B105" i="31"/>
  <c r="D105" i="31"/>
  <c r="E105" i="31" s="1"/>
  <c r="J105" i="31" s="1"/>
  <c r="G105" i="31"/>
  <c r="I105" i="31"/>
  <c r="B106" i="31"/>
  <c r="D106" i="31"/>
  <c r="E106" i="31"/>
  <c r="G106" i="31"/>
  <c r="I106" i="31"/>
  <c r="J106" i="31"/>
  <c r="B107" i="31"/>
  <c r="D107" i="31"/>
  <c r="E107" i="31" s="1"/>
  <c r="J107" i="31" s="1"/>
  <c r="G107" i="31"/>
  <c r="I107" i="31"/>
  <c r="B108" i="31"/>
  <c r="D108" i="31"/>
  <c r="E108" i="31"/>
  <c r="G108" i="31"/>
  <c r="I108" i="31"/>
  <c r="J108" i="31"/>
  <c r="B109" i="31"/>
  <c r="D109" i="31"/>
  <c r="E109" i="31" s="1"/>
  <c r="J109" i="31" s="1"/>
  <c r="G109" i="31"/>
  <c r="I109" i="31"/>
  <c r="B110" i="31"/>
  <c r="D110" i="31"/>
  <c r="E110" i="31"/>
  <c r="G110" i="31"/>
  <c r="I110" i="31"/>
  <c r="J110" i="31"/>
  <c r="B111" i="31"/>
  <c r="D111" i="31"/>
  <c r="E111" i="31" s="1"/>
  <c r="J111" i="31" s="1"/>
  <c r="G111" i="31"/>
  <c r="I111" i="31"/>
  <c r="B112" i="31"/>
  <c r="D112" i="31"/>
  <c r="E112" i="31"/>
  <c r="G112" i="31"/>
  <c r="I112" i="31"/>
  <c r="J112" i="31"/>
  <c r="B113" i="31"/>
  <c r="D113" i="31"/>
  <c r="E113" i="31" s="1"/>
  <c r="J113" i="31" s="1"/>
  <c r="G113" i="31"/>
  <c r="I113" i="31"/>
  <c r="B114" i="31"/>
  <c r="D114" i="31"/>
  <c r="E114" i="31"/>
  <c r="G114" i="31"/>
  <c r="I114" i="31"/>
  <c r="J114" i="31"/>
  <c r="B115" i="31"/>
  <c r="D115" i="31"/>
  <c r="E115" i="31" s="1"/>
  <c r="J115" i="31" s="1"/>
  <c r="G115" i="31"/>
  <c r="I115" i="31"/>
  <c r="B116" i="31"/>
  <c r="D116" i="31"/>
  <c r="E116" i="31"/>
  <c r="G116" i="31"/>
  <c r="I116" i="31"/>
  <c r="J116" i="31"/>
  <c r="B117" i="31"/>
  <c r="D117" i="31"/>
  <c r="E117" i="31" s="1"/>
  <c r="J117" i="31" s="1"/>
  <c r="G117" i="31"/>
  <c r="I117" i="31"/>
  <c r="B118" i="31"/>
  <c r="D118" i="31"/>
  <c r="E118" i="31"/>
  <c r="G118" i="31"/>
  <c r="I118" i="31"/>
  <c r="J118" i="31"/>
  <c r="B119" i="31"/>
  <c r="D119" i="31"/>
  <c r="E119" i="31" s="1"/>
  <c r="J119" i="31" s="1"/>
  <c r="G119" i="31"/>
  <c r="I119" i="31"/>
  <c r="B120" i="31"/>
  <c r="D120" i="31"/>
  <c r="E120" i="31"/>
  <c r="G120" i="31"/>
  <c r="I120" i="31"/>
  <c r="J120" i="31"/>
  <c r="B121" i="31"/>
  <c r="D121" i="31"/>
  <c r="E121" i="31" s="1"/>
  <c r="J121" i="31" s="1"/>
  <c r="G121" i="31"/>
  <c r="I121" i="31"/>
  <c r="B122" i="31"/>
  <c r="D122" i="31"/>
  <c r="E122" i="31"/>
  <c r="G122" i="31"/>
  <c r="I122" i="31"/>
  <c r="J122" i="31"/>
  <c r="B123" i="31"/>
  <c r="D123" i="31"/>
  <c r="E123" i="31" s="1"/>
  <c r="J123" i="31" s="1"/>
  <c r="G123" i="31"/>
  <c r="I123" i="31"/>
  <c r="B124" i="31"/>
  <c r="D124" i="31"/>
  <c r="E124" i="31"/>
  <c r="G124" i="31"/>
  <c r="I124" i="31"/>
  <c r="J124" i="31"/>
  <c r="B125" i="31"/>
  <c r="D125" i="31"/>
  <c r="E125" i="31" s="1"/>
  <c r="J125" i="31" s="1"/>
  <c r="G125" i="31"/>
  <c r="I125" i="31"/>
  <c r="B126" i="31"/>
  <c r="D126" i="31"/>
  <c r="E126" i="31"/>
  <c r="G126" i="31"/>
  <c r="I126" i="31"/>
  <c r="J126" i="31"/>
  <c r="B127" i="31"/>
  <c r="D127" i="31"/>
  <c r="E127" i="31" s="1"/>
  <c r="J127" i="31" s="1"/>
  <c r="G127" i="31"/>
  <c r="I127" i="31"/>
  <c r="B128" i="31"/>
  <c r="D128" i="31"/>
  <c r="E128" i="31"/>
  <c r="G128" i="31"/>
  <c r="I128" i="31"/>
  <c r="J128" i="31"/>
  <c r="B129" i="31"/>
  <c r="D129" i="31"/>
  <c r="E129" i="31" s="1"/>
  <c r="J129" i="31" s="1"/>
  <c r="G129" i="31"/>
  <c r="I129" i="31"/>
  <c r="B130" i="31"/>
  <c r="D130" i="31"/>
  <c r="E130" i="31"/>
  <c r="G130" i="31"/>
  <c r="I130" i="31"/>
  <c r="J130" i="31"/>
  <c r="B131" i="31"/>
  <c r="D131" i="31"/>
  <c r="E131" i="31" s="1"/>
  <c r="J131" i="31" s="1"/>
  <c r="G131" i="31"/>
  <c r="I131" i="31"/>
  <c r="B132" i="31"/>
  <c r="D132" i="31"/>
  <c r="E132" i="31"/>
  <c r="G132" i="31"/>
  <c r="I132" i="31"/>
  <c r="J132" i="31"/>
  <c r="B133" i="31"/>
  <c r="D133" i="31"/>
  <c r="E133" i="31" s="1"/>
  <c r="J133" i="31" s="1"/>
  <c r="G133" i="31"/>
  <c r="I133" i="31"/>
  <c r="B134" i="31"/>
  <c r="D134" i="31"/>
  <c r="E134" i="31"/>
  <c r="G134" i="31"/>
  <c r="I134" i="31"/>
  <c r="J134" i="31"/>
  <c r="B135" i="31"/>
  <c r="D135" i="31"/>
  <c r="E135" i="31" s="1"/>
  <c r="J135" i="31" s="1"/>
  <c r="G135" i="31"/>
  <c r="I135" i="31"/>
  <c r="B136" i="31"/>
  <c r="D136" i="31"/>
  <c r="E136" i="31"/>
  <c r="G136" i="31"/>
  <c r="I136" i="31"/>
  <c r="J136" i="31"/>
  <c r="B137" i="31"/>
  <c r="D137" i="31"/>
  <c r="E137" i="31" s="1"/>
  <c r="J137" i="31" s="1"/>
  <c r="G137" i="31"/>
  <c r="I137" i="31"/>
  <c r="B138" i="31"/>
  <c r="D138" i="31"/>
  <c r="E138" i="31"/>
  <c r="G138" i="31"/>
  <c r="I138" i="31"/>
  <c r="J138" i="31"/>
  <c r="B139" i="31"/>
  <c r="D139" i="31"/>
  <c r="E139" i="31" s="1"/>
  <c r="J139" i="31" s="1"/>
  <c r="G139" i="31"/>
  <c r="I139" i="31"/>
  <c r="B140" i="31"/>
  <c r="D140" i="31"/>
  <c r="E140" i="31"/>
  <c r="G140" i="31"/>
  <c r="I140" i="31"/>
  <c r="J140" i="31"/>
  <c r="B141" i="31"/>
  <c r="D141" i="31"/>
  <c r="E141" i="31" s="1"/>
  <c r="J141" i="31" s="1"/>
  <c r="G141" i="31"/>
  <c r="I141" i="31"/>
  <c r="B142" i="31"/>
  <c r="D142" i="31"/>
  <c r="E142" i="31"/>
  <c r="G142" i="31"/>
  <c r="I142" i="31"/>
  <c r="J142" i="31"/>
  <c r="B143" i="31"/>
  <c r="D143" i="31"/>
  <c r="E143" i="31"/>
  <c r="G143" i="31"/>
  <c r="I143" i="31"/>
  <c r="J143" i="31"/>
  <c r="B144" i="31"/>
  <c r="D144" i="31"/>
  <c r="E144" i="31"/>
  <c r="G144" i="31"/>
  <c r="I144" i="31"/>
  <c r="J144" i="31"/>
  <c r="B145" i="31"/>
  <c r="D145" i="31"/>
  <c r="E145" i="31"/>
  <c r="G145" i="31"/>
  <c r="I145" i="31"/>
  <c r="J145" i="31"/>
  <c r="B146" i="31"/>
  <c r="D146" i="31"/>
  <c r="E146" i="31"/>
  <c r="G146" i="31"/>
  <c r="I146" i="31"/>
  <c r="J146" i="31"/>
  <c r="B147" i="31"/>
  <c r="D147" i="31"/>
  <c r="E147" i="31"/>
  <c r="G147" i="31"/>
  <c r="I147" i="31"/>
  <c r="J147" i="31"/>
  <c r="B148" i="31"/>
  <c r="D148" i="31"/>
  <c r="E148" i="31"/>
  <c r="G148" i="31"/>
  <c r="I148" i="31"/>
  <c r="J148" i="31"/>
  <c r="B149" i="31"/>
  <c r="D149" i="31"/>
  <c r="E149" i="31"/>
  <c r="G149" i="31"/>
  <c r="I149" i="31"/>
  <c r="J149" i="31"/>
  <c r="U82" i="31"/>
  <c r="R82" i="31"/>
  <c r="O82" i="31"/>
  <c r="M82" i="31"/>
  <c r="L82" i="31"/>
  <c r="I82" i="31"/>
  <c r="G82" i="31"/>
  <c r="D82" i="31"/>
  <c r="E82" i="31" s="1"/>
  <c r="J82" i="31" s="1"/>
  <c r="N82" i="31" s="1"/>
  <c r="B82" i="31"/>
  <c r="U81" i="31"/>
  <c r="V81" i="31" s="1"/>
  <c r="R81" i="31"/>
  <c r="O81" i="31"/>
  <c r="M81" i="31"/>
  <c r="L81" i="31"/>
  <c r="I81" i="31"/>
  <c r="G81" i="31"/>
  <c r="D81" i="31"/>
  <c r="E81" i="31" s="1"/>
  <c r="B81" i="31"/>
  <c r="U80" i="31"/>
  <c r="R80" i="31"/>
  <c r="O80" i="31"/>
  <c r="M80" i="31"/>
  <c r="L80" i="31"/>
  <c r="I80" i="31"/>
  <c r="G80" i="31"/>
  <c r="D80" i="31"/>
  <c r="E80" i="31" s="1"/>
  <c r="J80" i="31" s="1"/>
  <c r="B80" i="31"/>
  <c r="U79" i="31"/>
  <c r="V79" i="31" s="1"/>
  <c r="R79" i="31"/>
  <c r="O79" i="31"/>
  <c r="M79" i="31"/>
  <c r="L79" i="31"/>
  <c r="I79" i="31"/>
  <c r="G79" i="31"/>
  <c r="D79" i="31"/>
  <c r="E79" i="31" s="1"/>
  <c r="B79" i="31"/>
  <c r="U78" i="31"/>
  <c r="R78" i="31"/>
  <c r="O78" i="31"/>
  <c r="M78" i="31"/>
  <c r="L78" i="31"/>
  <c r="V78" i="31" s="1"/>
  <c r="I78" i="31"/>
  <c r="J78" i="31" s="1"/>
  <c r="G78" i="31"/>
  <c r="E78" i="31"/>
  <c r="D78" i="31"/>
  <c r="B78" i="31"/>
  <c r="U77" i="31"/>
  <c r="R77" i="31"/>
  <c r="O77" i="31"/>
  <c r="M77" i="31"/>
  <c r="L77" i="31"/>
  <c r="I77" i="31"/>
  <c r="G77" i="31"/>
  <c r="D77" i="31"/>
  <c r="E77" i="31" s="1"/>
  <c r="B77" i="31"/>
  <c r="U76" i="31"/>
  <c r="R76" i="31"/>
  <c r="O76" i="31"/>
  <c r="M76" i="31"/>
  <c r="L76" i="31"/>
  <c r="V76" i="31" s="1"/>
  <c r="I76" i="31"/>
  <c r="G76" i="31"/>
  <c r="D76" i="31"/>
  <c r="E76" i="31" s="1"/>
  <c r="B76" i="31"/>
  <c r="U75" i="31"/>
  <c r="R75" i="31"/>
  <c r="O75" i="31"/>
  <c r="M75" i="31"/>
  <c r="L75" i="31"/>
  <c r="I75" i="31"/>
  <c r="G75" i="31"/>
  <c r="D75" i="31"/>
  <c r="E75" i="31" s="1"/>
  <c r="J75" i="31" s="1"/>
  <c r="B75" i="31"/>
  <c r="U74" i="31"/>
  <c r="V74" i="31" s="1"/>
  <c r="R74" i="31"/>
  <c r="O74" i="31"/>
  <c r="M74" i="31"/>
  <c r="L74" i="31"/>
  <c r="I74" i="31"/>
  <c r="G74" i="31"/>
  <c r="D74" i="31"/>
  <c r="E74" i="31" s="1"/>
  <c r="B74" i="31"/>
  <c r="U73" i="31"/>
  <c r="R73" i="31"/>
  <c r="O73" i="31"/>
  <c r="M73" i="31"/>
  <c r="L73" i="31"/>
  <c r="I73" i="31"/>
  <c r="J73" i="31" s="1"/>
  <c r="G73" i="31"/>
  <c r="E73" i="31"/>
  <c r="D73" i="31"/>
  <c r="B73" i="31"/>
  <c r="U72" i="31"/>
  <c r="V72" i="31" s="1"/>
  <c r="R72" i="31"/>
  <c r="O72" i="31"/>
  <c r="M72" i="31"/>
  <c r="L72" i="31"/>
  <c r="I72" i="31"/>
  <c r="G72" i="31"/>
  <c r="D72" i="31"/>
  <c r="E72" i="31" s="1"/>
  <c r="J72" i="31" s="1"/>
  <c r="N72" i="31" s="1"/>
  <c r="B72" i="31"/>
  <c r="U71" i="31"/>
  <c r="R71" i="31"/>
  <c r="O71" i="31"/>
  <c r="M71" i="31"/>
  <c r="L71" i="31"/>
  <c r="V71" i="31" s="1"/>
  <c r="I71" i="31"/>
  <c r="G71" i="31"/>
  <c r="E71" i="31"/>
  <c r="D71" i="31"/>
  <c r="B71" i="31"/>
  <c r="U70" i="31"/>
  <c r="R70" i="31"/>
  <c r="O70" i="31"/>
  <c r="M70" i="31"/>
  <c r="L70" i="31"/>
  <c r="I70" i="31"/>
  <c r="G70" i="31"/>
  <c r="D70" i="31"/>
  <c r="E70" i="31" s="1"/>
  <c r="J70" i="31" s="1"/>
  <c r="B70" i="31"/>
  <c r="U69" i="31"/>
  <c r="R69" i="31"/>
  <c r="O69" i="31"/>
  <c r="M69" i="31"/>
  <c r="L69" i="31"/>
  <c r="V69" i="31" s="1"/>
  <c r="I69" i="31"/>
  <c r="G69" i="31"/>
  <c r="D69" i="31"/>
  <c r="E69" i="31" s="1"/>
  <c r="B69" i="31"/>
  <c r="U68" i="31"/>
  <c r="R68" i="31"/>
  <c r="O68" i="31"/>
  <c r="M68" i="31"/>
  <c r="L68" i="31"/>
  <c r="I68" i="31"/>
  <c r="G68" i="31"/>
  <c r="D68" i="31"/>
  <c r="E68" i="31" s="1"/>
  <c r="J68" i="31" s="1"/>
  <c r="B68" i="31"/>
  <c r="U67" i="31"/>
  <c r="R67" i="31"/>
  <c r="O67" i="31"/>
  <c r="M67" i="31"/>
  <c r="L67" i="31"/>
  <c r="I67" i="31"/>
  <c r="G67" i="31"/>
  <c r="D67" i="31"/>
  <c r="E67" i="31" s="1"/>
  <c r="B67" i="31"/>
  <c r="U66" i="31"/>
  <c r="R66" i="31"/>
  <c r="O66" i="31"/>
  <c r="M66" i="31"/>
  <c r="L66" i="31"/>
  <c r="I66" i="31"/>
  <c r="J66" i="31" s="1"/>
  <c r="G66" i="31"/>
  <c r="D66" i="31"/>
  <c r="E66" i="31" s="1"/>
  <c r="B66" i="31"/>
  <c r="U65" i="31"/>
  <c r="V65" i="31" s="1"/>
  <c r="R65" i="31"/>
  <c r="O65" i="31"/>
  <c r="M65" i="31"/>
  <c r="L65" i="31"/>
  <c r="I65" i="31"/>
  <c r="G65" i="31"/>
  <c r="D65" i="31"/>
  <c r="E65" i="31" s="1"/>
  <c r="B65" i="31"/>
  <c r="U64" i="31"/>
  <c r="R64" i="31"/>
  <c r="O64" i="31"/>
  <c r="M64" i="31"/>
  <c r="L64" i="31"/>
  <c r="V64" i="31" s="1"/>
  <c r="I64" i="31"/>
  <c r="G64" i="31"/>
  <c r="D64" i="31"/>
  <c r="E64" i="31" s="1"/>
  <c r="B64" i="31"/>
  <c r="U63" i="31"/>
  <c r="R63" i="31"/>
  <c r="O63" i="31"/>
  <c r="M63" i="31"/>
  <c r="L63" i="31"/>
  <c r="V63" i="31" s="1"/>
  <c r="I63" i="31"/>
  <c r="G63" i="31"/>
  <c r="D63" i="31"/>
  <c r="E63" i="31" s="1"/>
  <c r="J63" i="31" s="1"/>
  <c r="B63" i="31"/>
  <c r="U62" i="31"/>
  <c r="R62" i="31"/>
  <c r="O62" i="31"/>
  <c r="M62" i="31"/>
  <c r="L62" i="31"/>
  <c r="I62" i="31"/>
  <c r="G62" i="31"/>
  <c r="D62" i="31"/>
  <c r="E62" i="31" s="1"/>
  <c r="B62" i="31"/>
  <c r="U61" i="31"/>
  <c r="R61" i="31"/>
  <c r="O61" i="31"/>
  <c r="M61" i="31"/>
  <c r="L61" i="31"/>
  <c r="I61" i="31"/>
  <c r="J61" i="31" s="1"/>
  <c r="G61" i="31"/>
  <c r="E61" i="31"/>
  <c r="D61" i="31"/>
  <c r="B61" i="31"/>
  <c r="U60" i="31"/>
  <c r="R60" i="31"/>
  <c r="O60" i="31"/>
  <c r="M60" i="31"/>
  <c r="L60" i="31"/>
  <c r="I60" i="31"/>
  <c r="G60" i="31"/>
  <c r="D60" i="31"/>
  <c r="E60" i="31" s="1"/>
  <c r="J60" i="31" s="1"/>
  <c r="N60" i="31" s="1"/>
  <c r="B60" i="31"/>
  <c r="U59" i="31"/>
  <c r="R59" i="31"/>
  <c r="O59" i="31"/>
  <c r="M59" i="31"/>
  <c r="L59" i="31"/>
  <c r="V59" i="31" s="1"/>
  <c r="I59" i="31"/>
  <c r="G59" i="31"/>
  <c r="E59" i="31"/>
  <c r="D59" i="31"/>
  <c r="B59" i="31"/>
  <c r="U58" i="31"/>
  <c r="V58" i="31" s="1"/>
  <c r="R58" i="31"/>
  <c r="O58" i="31"/>
  <c r="M58" i="31"/>
  <c r="L58" i="31"/>
  <c r="I58" i="31"/>
  <c r="G58" i="31"/>
  <c r="D58" i="31"/>
  <c r="E58" i="31" s="1"/>
  <c r="J58" i="31" s="1"/>
  <c r="N58" i="31" s="1"/>
  <c r="B58" i="31"/>
  <c r="U57" i="31"/>
  <c r="R57" i="31"/>
  <c r="O57" i="31"/>
  <c r="M57" i="31"/>
  <c r="L57" i="31"/>
  <c r="I57" i="31"/>
  <c r="G57" i="31"/>
  <c r="D57" i="31"/>
  <c r="E57" i="31" s="1"/>
  <c r="B57" i="31"/>
  <c r="U56" i="31"/>
  <c r="R56" i="31"/>
  <c r="O56" i="31"/>
  <c r="M56" i="31"/>
  <c r="L56" i="31"/>
  <c r="I56" i="31"/>
  <c r="G56" i="31"/>
  <c r="D56" i="31"/>
  <c r="E56" i="31" s="1"/>
  <c r="J56" i="31" s="1"/>
  <c r="B56" i="31"/>
  <c r="U55" i="31"/>
  <c r="R55" i="31"/>
  <c r="O55" i="31"/>
  <c r="M55" i="31"/>
  <c r="L55" i="31"/>
  <c r="I55" i="31"/>
  <c r="G55" i="31"/>
  <c r="D55" i="31"/>
  <c r="E55" i="31" s="1"/>
  <c r="B55" i="31"/>
  <c r="U54" i="31"/>
  <c r="R54" i="31"/>
  <c r="O54" i="31"/>
  <c r="M54" i="31"/>
  <c r="L54" i="31"/>
  <c r="V54" i="31" s="1"/>
  <c r="I54" i="31"/>
  <c r="J54" i="31" s="1"/>
  <c r="G54" i="31"/>
  <c r="D54" i="31"/>
  <c r="E54" i="31" s="1"/>
  <c r="B54" i="31"/>
  <c r="U53" i="31"/>
  <c r="R53" i="31"/>
  <c r="O53" i="31"/>
  <c r="M53" i="31"/>
  <c r="L53" i="31"/>
  <c r="I53" i="31"/>
  <c r="G53" i="31"/>
  <c r="D53" i="31"/>
  <c r="E53" i="31" s="1"/>
  <c r="B53" i="31"/>
  <c r="U52" i="31"/>
  <c r="V52" i="31" s="1"/>
  <c r="R52" i="31"/>
  <c r="O52" i="31"/>
  <c r="M52" i="31"/>
  <c r="L52" i="31"/>
  <c r="I52" i="31"/>
  <c r="G52" i="31"/>
  <c r="D52" i="31"/>
  <c r="E52" i="31" s="1"/>
  <c r="B52" i="31"/>
  <c r="U51" i="31"/>
  <c r="R51" i="31"/>
  <c r="O51" i="31"/>
  <c r="M51" i="31"/>
  <c r="L51" i="31"/>
  <c r="V51" i="31" s="1"/>
  <c r="I51" i="31"/>
  <c r="G51" i="31"/>
  <c r="D51" i="31"/>
  <c r="E51" i="31" s="1"/>
  <c r="J51" i="31" s="1"/>
  <c r="B51" i="31"/>
  <c r="U50" i="31"/>
  <c r="R50" i="31"/>
  <c r="O50" i="31"/>
  <c r="M50" i="31"/>
  <c r="L50" i="31"/>
  <c r="I50" i="31"/>
  <c r="G50" i="31"/>
  <c r="D50" i="31"/>
  <c r="E50" i="31" s="1"/>
  <c r="B50" i="31"/>
  <c r="U49" i="31"/>
  <c r="R49" i="31"/>
  <c r="O49" i="31"/>
  <c r="M49" i="31"/>
  <c r="L49" i="31"/>
  <c r="I49" i="31"/>
  <c r="J49" i="31" s="1"/>
  <c r="G49" i="31"/>
  <c r="E49" i="31"/>
  <c r="D49" i="31"/>
  <c r="B49" i="31"/>
  <c r="U48" i="31"/>
  <c r="R48" i="31"/>
  <c r="O48" i="31"/>
  <c r="M48" i="31"/>
  <c r="L48" i="31"/>
  <c r="I48" i="31"/>
  <c r="G48" i="31"/>
  <c r="D48" i="31"/>
  <c r="E48" i="31" s="1"/>
  <c r="B48" i="31"/>
  <c r="U47" i="31"/>
  <c r="R47" i="31"/>
  <c r="O47" i="31"/>
  <c r="M47" i="31"/>
  <c r="L47" i="31"/>
  <c r="V47" i="31" s="1"/>
  <c r="I47" i="31"/>
  <c r="J47" i="31" s="1"/>
  <c r="G47" i="31"/>
  <c r="E47" i="31"/>
  <c r="D47" i="31"/>
  <c r="B47" i="31"/>
  <c r="U46" i="31"/>
  <c r="R46" i="31"/>
  <c r="O46" i="31"/>
  <c r="M46" i="31"/>
  <c r="L46" i="31"/>
  <c r="I46" i="31"/>
  <c r="G46" i="31"/>
  <c r="D46" i="31"/>
  <c r="E46" i="31" s="1"/>
  <c r="J46" i="31" s="1"/>
  <c r="N46" i="31" s="1"/>
  <c r="B46" i="31"/>
  <c r="V45" i="31"/>
  <c r="U45" i="31"/>
  <c r="R45" i="31"/>
  <c r="O45" i="31"/>
  <c r="M45" i="31"/>
  <c r="L45" i="31"/>
  <c r="I45" i="31"/>
  <c r="G45" i="31"/>
  <c r="D45" i="31"/>
  <c r="E45" i="31" s="1"/>
  <c r="B45" i="31"/>
  <c r="U44" i="31"/>
  <c r="R44" i="31"/>
  <c r="O44" i="31"/>
  <c r="M44" i="31"/>
  <c r="L44" i="31"/>
  <c r="I44" i="31"/>
  <c r="G44" i="31"/>
  <c r="D44" i="31"/>
  <c r="E44" i="31" s="1"/>
  <c r="J44" i="31" s="1"/>
  <c r="B44" i="31"/>
  <c r="U43" i="31"/>
  <c r="V43" i="31" s="1"/>
  <c r="R43" i="31"/>
  <c r="O43" i="31"/>
  <c r="M43" i="31"/>
  <c r="L43" i="31"/>
  <c r="I43" i="31"/>
  <c r="G43" i="31"/>
  <c r="D43" i="31"/>
  <c r="E43" i="31" s="1"/>
  <c r="B43" i="31"/>
  <c r="U42" i="31"/>
  <c r="R42" i="31"/>
  <c r="O42" i="31"/>
  <c r="M42" i="31"/>
  <c r="L42" i="31"/>
  <c r="I42" i="31"/>
  <c r="J42" i="31" s="1"/>
  <c r="G42" i="31"/>
  <c r="D42" i="31"/>
  <c r="E42" i="31" s="1"/>
  <c r="B42" i="31"/>
  <c r="U41" i="31"/>
  <c r="R41" i="31"/>
  <c r="O41" i="31"/>
  <c r="M41" i="31"/>
  <c r="L41" i="31"/>
  <c r="I41" i="31"/>
  <c r="G41" i="31"/>
  <c r="D41" i="31"/>
  <c r="E41" i="31" s="1"/>
  <c r="B41" i="31"/>
  <c r="U40" i="31"/>
  <c r="R40" i="31"/>
  <c r="O40" i="31"/>
  <c r="M40" i="31"/>
  <c r="L40" i="31"/>
  <c r="I40" i="31"/>
  <c r="G40" i="31"/>
  <c r="E40" i="31"/>
  <c r="D40" i="31"/>
  <c r="B40" i="31"/>
  <c r="U39" i="31"/>
  <c r="R39" i="31"/>
  <c r="O39" i="31"/>
  <c r="M39" i="31"/>
  <c r="L39" i="31"/>
  <c r="I39" i="31"/>
  <c r="G39" i="31"/>
  <c r="D39" i="31"/>
  <c r="E39" i="31" s="1"/>
  <c r="B39" i="31"/>
  <c r="U38" i="31"/>
  <c r="R38" i="31"/>
  <c r="O38" i="31"/>
  <c r="M38" i="31"/>
  <c r="L38" i="31"/>
  <c r="I38" i="31"/>
  <c r="G38" i="31"/>
  <c r="E38" i="31"/>
  <c r="D38" i="31"/>
  <c r="B38" i="31"/>
  <c r="U37" i="31"/>
  <c r="R37" i="31"/>
  <c r="O37" i="31"/>
  <c r="M37" i="31"/>
  <c r="L37" i="31"/>
  <c r="I37" i="31"/>
  <c r="J37" i="31" s="1"/>
  <c r="G37" i="31"/>
  <c r="E37" i="31"/>
  <c r="D37" i="31"/>
  <c r="B37" i="31"/>
  <c r="U36" i="31"/>
  <c r="V36" i="31" s="1"/>
  <c r="R36" i="31"/>
  <c r="O36" i="31"/>
  <c r="M36" i="31"/>
  <c r="L36" i="31"/>
  <c r="I36" i="31"/>
  <c r="G36" i="31"/>
  <c r="D36" i="31"/>
  <c r="E36" i="31" s="1"/>
  <c r="B36" i="31"/>
  <c r="U35" i="31"/>
  <c r="R35" i="31"/>
  <c r="O35" i="31"/>
  <c r="M35" i="31"/>
  <c r="L35" i="31"/>
  <c r="I35" i="31"/>
  <c r="J35" i="31" s="1"/>
  <c r="G35" i="31"/>
  <c r="E35" i="31"/>
  <c r="D35" i="31"/>
  <c r="B35" i="31"/>
  <c r="U34" i="31"/>
  <c r="R34" i="31"/>
  <c r="O34" i="31"/>
  <c r="M34" i="31"/>
  <c r="L34" i="31"/>
  <c r="I34" i="31"/>
  <c r="G34" i="31"/>
  <c r="D34" i="31"/>
  <c r="E34" i="31" s="1"/>
  <c r="J34" i="31" s="1"/>
  <c r="B34" i="31"/>
  <c r="U33" i="31"/>
  <c r="R33" i="31"/>
  <c r="O33" i="31"/>
  <c r="M33" i="31"/>
  <c r="L33" i="31"/>
  <c r="I33" i="31"/>
  <c r="G33" i="31"/>
  <c r="D33" i="31"/>
  <c r="E33" i="31" s="1"/>
  <c r="B33" i="31"/>
  <c r="U32" i="31"/>
  <c r="R32" i="31"/>
  <c r="O32" i="31"/>
  <c r="M32" i="31"/>
  <c r="L32" i="31"/>
  <c r="V32" i="31" s="1"/>
  <c r="J32" i="31"/>
  <c r="I32" i="31"/>
  <c r="G32" i="31"/>
  <c r="D32" i="31"/>
  <c r="E32" i="31" s="1"/>
  <c r="B32" i="31"/>
  <c r="U31" i="31"/>
  <c r="R31" i="31"/>
  <c r="O31" i="31"/>
  <c r="M31" i="31"/>
  <c r="L31" i="31"/>
  <c r="I31" i="31"/>
  <c r="J31" i="31" s="1"/>
  <c r="N31" i="31" s="1"/>
  <c r="G31" i="31"/>
  <c r="D31" i="31"/>
  <c r="E31" i="31" s="1"/>
  <c r="B31" i="31"/>
  <c r="U30" i="31"/>
  <c r="R30" i="31"/>
  <c r="O30" i="31"/>
  <c r="M30" i="31"/>
  <c r="L30" i="31"/>
  <c r="J30" i="31"/>
  <c r="I30" i="31"/>
  <c r="G30" i="31"/>
  <c r="D30" i="31"/>
  <c r="E30" i="31" s="1"/>
  <c r="B30" i="31"/>
  <c r="U29" i="31"/>
  <c r="R29" i="31"/>
  <c r="O29" i="31"/>
  <c r="M29" i="31"/>
  <c r="L29" i="31"/>
  <c r="N29" i="31" s="1"/>
  <c r="I29" i="31"/>
  <c r="J29" i="31" s="1"/>
  <c r="G29" i="31"/>
  <c r="D29" i="31"/>
  <c r="E29" i="31" s="1"/>
  <c r="B29" i="31"/>
  <c r="U28" i="31"/>
  <c r="V28" i="31" s="1"/>
  <c r="R28" i="31"/>
  <c r="O28" i="31"/>
  <c r="M28" i="31"/>
  <c r="L28" i="31"/>
  <c r="I28" i="31"/>
  <c r="G28" i="31"/>
  <c r="D28" i="31"/>
  <c r="E28" i="31" s="1"/>
  <c r="B28" i="31"/>
  <c r="U27" i="31"/>
  <c r="R27" i="31"/>
  <c r="O27" i="31"/>
  <c r="M27" i="31"/>
  <c r="L27" i="31"/>
  <c r="V27" i="31" s="1"/>
  <c r="I27" i="31"/>
  <c r="J27" i="31" s="1"/>
  <c r="G27" i="31"/>
  <c r="E27" i="31"/>
  <c r="D27" i="31"/>
  <c r="B27" i="31"/>
  <c r="U26" i="31"/>
  <c r="R26" i="31"/>
  <c r="O26" i="31"/>
  <c r="M26" i="31"/>
  <c r="L26" i="31"/>
  <c r="I26" i="31"/>
  <c r="G26" i="31"/>
  <c r="D26" i="31"/>
  <c r="E26" i="31" s="1"/>
  <c r="B26" i="31"/>
  <c r="U25" i="31"/>
  <c r="R25" i="31"/>
  <c r="O25" i="31"/>
  <c r="M25" i="31"/>
  <c r="L25" i="31"/>
  <c r="I25" i="31"/>
  <c r="J25" i="31" s="1"/>
  <c r="G25" i="31"/>
  <c r="E25" i="31"/>
  <c r="D25" i="31"/>
  <c r="B25" i="31"/>
  <c r="U24" i="31"/>
  <c r="R24" i="31"/>
  <c r="O24" i="31"/>
  <c r="M24" i="31"/>
  <c r="L24" i="31"/>
  <c r="I24" i="31"/>
  <c r="G24" i="31"/>
  <c r="D24" i="31"/>
  <c r="E24" i="31" s="1"/>
  <c r="J24" i="31" s="1"/>
  <c r="N24" i="31" s="1"/>
  <c r="B24" i="31"/>
  <c r="U23" i="31"/>
  <c r="R23" i="31"/>
  <c r="O23" i="31"/>
  <c r="M23" i="31"/>
  <c r="L23" i="31"/>
  <c r="V23" i="31" s="1"/>
  <c r="I23" i="31"/>
  <c r="J23" i="31" s="1"/>
  <c r="G23" i="31"/>
  <c r="E23" i="31"/>
  <c r="D23" i="31"/>
  <c r="B23" i="31"/>
  <c r="U22" i="31"/>
  <c r="R22" i="31"/>
  <c r="O22" i="31"/>
  <c r="M22" i="31"/>
  <c r="L22" i="31"/>
  <c r="I22" i="31"/>
  <c r="G22" i="31"/>
  <c r="D22" i="31"/>
  <c r="E22" i="31" s="1"/>
  <c r="J22" i="31" s="1"/>
  <c r="B22" i="31"/>
  <c r="U21" i="31"/>
  <c r="R21" i="31"/>
  <c r="O21" i="31"/>
  <c r="M21" i="31"/>
  <c r="L21" i="31"/>
  <c r="V21" i="31" s="1"/>
  <c r="I21" i="31"/>
  <c r="G21" i="31"/>
  <c r="D21" i="31"/>
  <c r="E21" i="31" s="1"/>
  <c r="B21" i="31"/>
  <c r="U20" i="31"/>
  <c r="R20" i="31"/>
  <c r="O20" i="31"/>
  <c r="M20" i="31"/>
  <c r="L20" i="31"/>
  <c r="I20" i="31"/>
  <c r="G20" i="31"/>
  <c r="D20" i="31"/>
  <c r="E20" i="31" s="1"/>
  <c r="J20" i="31" s="1"/>
  <c r="B20" i="31"/>
  <c r="U19" i="31"/>
  <c r="R19" i="31"/>
  <c r="O19" i="31"/>
  <c r="M19" i="31"/>
  <c r="L19" i="31"/>
  <c r="V19" i="31" s="1"/>
  <c r="I19" i="31"/>
  <c r="G19" i="31"/>
  <c r="D19" i="31"/>
  <c r="E19" i="31" s="1"/>
  <c r="B19" i="31"/>
  <c r="U18" i="31"/>
  <c r="R18" i="31"/>
  <c r="O18" i="31"/>
  <c r="M18" i="31"/>
  <c r="L18" i="31"/>
  <c r="I18" i="31"/>
  <c r="J18" i="31" s="1"/>
  <c r="G18" i="31"/>
  <c r="D18" i="31"/>
  <c r="E18" i="31" s="1"/>
  <c r="B18" i="31"/>
  <c r="U17" i="31"/>
  <c r="R17" i="31"/>
  <c r="O17" i="31"/>
  <c r="M17" i="31"/>
  <c r="L17" i="31"/>
  <c r="I17" i="31"/>
  <c r="G17" i="31"/>
  <c r="D17" i="31"/>
  <c r="E17" i="31" s="1"/>
  <c r="B17" i="31"/>
  <c r="U16" i="31"/>
  <c r="R16" i="31"/>
  <c r="O16" i="31"/>
  <c r="M16" i="31"/>
  <c r="L16" i="31"/>
  <c r="I16" i="31"/>
  <c r="G16" i="31"/>
  <c r="D16" i="31"/>
  <c r="E16" i="31" s="1"/>
  <c r="B16" i="31"/>
  <c r="U15" i="31"/>
  <c r="R15" i="31"/>
  <c r="O15" i="31"/>
  <c r="M15" i="31"/>
  <c r="L15" i="31"/>
  <c r="V15" i="31" s="1"/>
  <c r="I15" i="31"/>
  <c r="G15" i="31"/>
  <c r="D15" i="31"/>
  <c r="E15" i="31" s="1"/>
  <c r="B15" i="31"/>
  <c r="U14" i="31"/>
  <c r="R14" i="31"/>
  <c r="O14" i="31"/>
  <c r="M14" i="31"/>
  <c r="L14" i="31"/>
  <c r="I14" i="31"/>
  <c r="G14" i="31"/>
  <c r="D14" i="31"/>
  <c r="E14" i="31" s="1"/>
  <c r="B14" i="31"/>
  <c r="U13" i="31"/>
  <c r="R13" i="31"/>
  <c r="O13" i="31"/>
  <c r="M13" i="31"/>
  <c r="L13" i="31"/>
  <c r="I13" i="31"/>
  <c r="J13" i="31" s="1"/>
  <c r="G13" i="31"/>
  <c r="E13" i="31"/>
  <c r="D13" i="31"/>
  <c r="B13" i="31"/>
  <c r="U12" i="31"/>
  <c r="R12" i="31"/>
  <c r="O12" i="31"/>
  <c r="M12" i="31"/>
  <c r="L12" i="31"/>
  <c r="I12" i="31"/>
  <c r="G12" i="31"/>
  <c r="D12" i="31"/>
  <c r="E12" i="31" s="1"/>
  <c r="J12" i="31" s="1"/>
  <c r="B12" i="31"/>
  <c r="U11" i="31"/>
  <c r="R11" i="31"/>
  <c r="O11" i="31"/>
  <c r="M11" i="31"/>
  <c r="L11" i="31"/>
  <c r="V11" i="31" s="1"/>
  <c r="I11" i="31"/>
  <c r="J11" i="31" s="1"/>
  <c r="G11" i="31"/>
  <c r="E11" i="31"/>
  <c r="D11" i="31"/>
  <c r="B11" i="31"/>
  <c r="U10" i="31"/>
  <c r="R10" i="31"/>
  <c r="O10" i="31"/>
  <c r="M10" i="31"/>
  <c r="L10" i="31"/>
  <c r="I10" i="31"/>
  <c r="G10" i="31"/>
  <c r="D10" i="31"/>
  <c r="E10" i="31" s="1"/>
  <c r="J10" i="31" s="1"/>
  <c r="B10" i="31"/>
  <c r="U9" i="31"/>
  <c r="R9" i="31"/>
  <c r="O9" i="31"/>
  <c r="M9" i="31"/>
  <c r="L9" i="31"/>
  <c r="I9" i="31"/>
  <c r="G9" i="31"/>
  <c r="D9" i="31"/>
  <c r="E9" i="31" s="1"/>
  <c r="B9" i="31"/>
  <c r="U8" i="31"/>
  <c r="R8" i="31"/>
  <c r="O8" i="31"/>
  <c r="M8" i="31"/>
  <c r="L8" i="31"/>
  <c r="J8" i="31"/>
  <c r="I8" i="31"/>
  <c r="G8" i="31"/>
  <c r="D8" i="31"/>
  <c r="E8" i="31" s="1"/>
  <c r="B8" i="31"/>
  <c r="U7" i="31"/>
  <c r="R7" i="31"/>
  <c r="O7" i="31"/>
  <c r="M7" i="31"/>
  <c r="L7" i="31"/>
  <c r="I7" i="31"/>
  <c r="J7" i="31" s="1"/>
  <c r="N7" i="31" s="1"/>
  <c r="G7" i="31"/>
  <c r="D7" i="31"/>
  <c r="E7" i="31" s="1"/>
  <c r="B7" i="31"/>
  <c r="U6" i="31"/>
  <c r="R6" i="31"/>
  <c r="O6" i="31"/>
  <c r="M6" i="31"/>
  <c r="L6" i="31"/>
  <c r="J6" i="31"/>
  <c r="I6" i="31"/>
  <c r="G6" i="31"/>
  <c r="D6" i="31"/>
  <c r="E6" i="31" s="1"/>
  <c r="B6" i="31"/>
  <c r="U5" i="31"/>
  <c r="R5" i="31"/>
  <c r="O5" i="31"/>
  <c r="M5" i="31"/>
  <c r="L5" i="31"/>
  <c r="I5" i="31"/>
  <c r="J5" i="31" s="1"/>
  <c r="N5" i="31" s="1"/>
  <c r="G5" i="31"/>
  <c r="D5" i="31"/>
  <c r="E5" i="31" s="1"/>
  <c r="B5" i="31"/>
  <c r="U4" i="31"/>
  <c r="R4" i="31"/>
  <c r="O4" i="31"/>
  <c r="M4" i="31"/>
  <c r="L4" i="31"/>
  <c r="V4" i="31" s="1"/>
  <c r="I4" i="31"/>
  <c r="G4" i="31"/>
  <c r="D4" i="31"/>
  <c r="E4" i="31" s="1"/>
  <c r="B4" i="31"/>
  <c r="U3" i="31"/>
  <c r="R3" i="31"/>
  <c r="O3" i="31"/>
  <c r="M3" i="31"/>
  <c r="L3" i="31"/>
  <c r="I3" i="31"/>
  <c r="G3" i="31"/>
  <c r="D3" i="31"/>
  <c r="E3" i="31" s="1"/>
  <c r="B3" i="31"/>
  <c r="U2" i="31"/>
  <c r="R2" i="31"/>
  <c r="O2" i="31"/>
  <c r="M2" i="31"/>
  <c r="L2" i="31"/>
  <c r="I2" i="31"/>
  <c r="G2" i="31"/>
  <c r="D2" i="31"/>
  <c r="E2" i="31" s="1"/>
  <c r="B2" i="31"/>
  <c r="Y116" i="32" l="1"/>
  <c r="Z116" i="32" s="1"/>
  <c r="AA116" i="32" s="1"/>
  <c r="Y86" i="32"/>
  <c r="Z86" i="32" s="1"/>
  <c r="AA86" i="32" s="1"/>
  <c r="Y7" i="32"/>
  <c r="Z7" i="32" s="1"/>
  <c r="AA7" i="32" s="1"/>
  <c r="P7" i="32"/>
  <c r="Y106" i="32"/>
  <c r="Z106" i="32" s="1"/>
  <c r="AA106" i="32" s="1"/>
  <c r="X126" i="32"/>
  <c r="Y21" i="32"/>
  <c r="Z21" i="32" s="1"/>
  <c r="AA21" i="32" s="1"/>
  <c r="Y55" i="32"/>
  <c r="Z55" i="32" s="1"/>
  <c r="AA55" i="32" s="1"/>
  <c r="Y98" i="32"/>
  <c r="Z98" i="32" s="1"/>
  <c r="AA98" i="32" s="1"/>
  <c r="Y94" i="32"/>
  <c r="Z94" i="32" s="1"/>
  <c r="AA94" i="32" s="1"/>
  <c r="Y6" i="32"/>
  <c r="Z6" i="32" s="1"/>
  <c r="AA6" i="32" s="1"/>
  <c r="Y25" i="32"/>
  <c r="Z25" i="32" s="1"/>
  <c r="AA25" i="32" s="1"/>
  <c r="Y11" i="32"/>
  <c r="Z11" i="32" s="1"/>
  <c r="AA11" i="32" s="1"/>
  <c r="Y73" i="32"/>
  <c r="Z73" i="32" s="1"/>
  <c r="AA73" i="32" s="1"/>
  <c r="Y49" i="32"/>
  <c r="Z49" i="32" s="1"/>
  <c r="AA49" i="32" s="1"/>
  <c r="Y33" i="32"/>
  <c r="Z33" i="32" s="1"/>
  <c r="AA33" i="32" s="1"/>
  <c r="Y59" i="32"/>
  <c r="Z59" i="32" s="1"/>
  <c r="AA59" i="32" s="1"/>
  <c r="Y5" i="32"/>
  <c r="Z5" i="32" s="1"/>
  <c r="AA5" i="32" s="1"/>
  <c r="Y67" i="32"/>
  <c r="Z67" i="32" s="1"/>
  <c r="AA67" i="32" s="1"/>
  <c r="Y37" i="32"/>
  <c r="Z37" i="32" s="1"/>
  <c r="AA37" i="32" s="1"/>
  <c r="Y34" i="32"/>
  <c r="Z34" i="32" s="1"/>
  <c r="AA34" i="32" s="1"/>
  <c r="Y47" i="32"/>
  <c r="Z47" i="32" s="1"/>
  <c r="AA47" i="32" s="1"/>
  <c r="Y31" i="32"/>
  <c r="Z31" i="32" s="1"/>
  <c r="AA31" i="32" s="1"/>
  <c r="Y43" i="32"/>
  <c r="Z43" i="32" s="1"/>
  <c r="AA43" i="32" s="1"/>
  <c r="Y19" i="32"/>
  <c r="Z19" i="32" s="1"/>
  <c r="AA19" i="32" s="1"/>
  <c r="Y113" i="32"/>
  <c r="Z113" i="32" s="1"/>
  <c r="AA113" i="32" s="1"/>
  <c r="Y100" i="32"/>
  <c r="Z100" i="32" s="1"/>
  <c r="AA100" i="32" s="1"/>
  <c r="Y123" i="32"/>
  <c r="Z123" i="32" s="1"/>
  <c r="AA123" i="32" s="1"/>
  <c r="Y111" i="32"/>
  <c r="Z111" i="32" s="1"/>
  <c r="AA111" i="32" s="1"/>
  <c r="Y46" i="32"/>
  <c r="Z46" i="32" s="1"/>
  <c r="AA46" i="32" s="1"/>
  <c r="Y71" i="32"/>
  <c r="Z71" i="32" s="1"/>
  <c r="AA71" i="32" s="1"/>
  <c r="Y74" i="32"/>
  <c r="Z74" i="32" s="1"/>
  <c r="AA74" i="32" s="1"/>
  <c r="Y70" i="32"/>
  <c r="Z70" i="32" s="1"/>
  <c r="AA70" i="32" s="1"/>
  <c r="Y72" i="32"/>
  <c r="Z72" i="32" s="1"/>
  <c r="AA72" i="32" s="1"/>
  <c r="Y91" i="32"/>
  <c r="Z91" i="32" s="1"/>
  <c r="AA91" i="32" s="1"/>
  <c r="Y99" i="32"/>
  <c r="Z99" i="32" s="1"/>
  <c r="AA99" i="32" s="1"/>
  <c r="Y85" i="32"/>
  <c r="Z85" i="32" s="1"/>
  <c r="AA85" i="32" s="1"/>
  <c r="Y75" i="32"/>
  <c r="Z75" i="32" s="1"/>
  <c r="AA75" i="32" s="1"/>
  <c r="Y68" i="32"/>
  <c r="Z68" i="32" s="1"/>
  <c r="AA68" i="32" s="1"/>
  <c r="Y107" i="32"/>
  <c r="Z107" i="32" s="1"/>
  <c r="AA107" i="32" s="1"/>
  <c r="Y8" i="32"/>
  <c r="Z8" i="32" s="1"/>
  <c r="AA8" i="32" s="1"/>
  <c r="Y121" i="32"/>
  <c r="Z121" i="32" s="1"/>
  <c r="AA121" i="32" s="1"/>
  <c r="Y89" i="32"/>
  <c r="Z89" i="32" s="1"/>
  <c r="AA89" i="32" s="1"/>
  <c r="Y9" i="32"/>
  <c r="Z9" i="32" s="1"/>
  <c r="AA9" i="32" s="1"/>
  <c r="Y63" i="32"/>
  <c r="Z63" i="32" s="1"/>
  <c r="AA63" i="32" s="1"/>
  <c r="Y69" i="32"/>
  <c r="Z69" i="32" s="1"/>
  <c r="AA69" i="32" s="1"/>
  <c r="Y60" i="32"/>
  <c r="Z60" i="32" s="1"/>
  <c r="AA60" i="32" s="1"/>
  <c r="Y65" i="32"/>
  <c r="Z65" i="32" s="1"/>
  <c r="AA65" i="32" s="1"/>
  <c r="Y93" i="32"/>
  <c r="Z93" i="32" s="1"/>
  <c r="AA93" i="32" s="1"/>
  <c r="Y102" i="32"/>
  <c r="Z102" i="32" s="1"/>
  <c r="AA102" i="32" s="1"/>
  <c r="Y3" i="32"/>
  <c r="Z3" i="32" s="1"/>
  <c r="AA3" i="32" s="1"/>
  <c r="Y28" i="32"/>
  <c r="Z28" i="32" s="1"/>
  <c r="AA28" i="32" s="1"/>
  <c r="Y27" i="32"/>
  <c r="Z27" i="32" s="1"/>
  <c r="AA27" i="32" s="1"/>
  <c r="Y77" i="32"/>
  <c r="Z77" i="32"/>
  <c r="AA77" i="32" s="1"/>
  <c r="Y14" i="32"/>
  <c r="Z14" i="32" s="1"/>
  <c r="AA14" i="32" s="1"/>
  <c r="Y26" i="32"/>
  <c r="Z26" i="32" s="1"/>
  <c r="AA26" i="32" s="1"/>
  <c r="Y42" i="32"/>
  <c r="Z42" i="32" s="1"/>
  <c r="AA42" i="32" s="1"/>
  <c r="Y125" i="32"/>
  <c r="Z125" i="32" s="1"/>
  <c r="AA125" i="32" s="1"/>
  <c r="Y88" i="32"/>
  <c r="Z88" i="32" s="1"/>
  <c r="AA88" i="32" s="1"/>
  <c r="Y22" i="32"/>
  <c r="Z22" i="32" s="1"/>
  <c r="AA22" i="32" s="1"/>
  <c r="Y51" i="32"/>
  <c r="Z51" i="32" s="1"/>
  <c r="AA51" i="32" s="1"/>
  <c r="Y87" i="32"/>
  <c r="Z87" i="32" s="1"/>
  <c r="AA87" i="32" s="1"/>
  <c r="Y101" i="32"/>
  <c r="Z101" i="32" s="1"/>
  <c r="AA101" i="32" s="1"/>
  <c r="Y32" i="32"/>
  <c r="Z32" i="32"/>
  <c r="AA32" i="32" s="1"/>
  <c r="Y79" i="32"/>
  <c r="Z79" i="32" s="1"/>
  <c r="AA79" i="32" s="1"/>
  <c r="Y41" i="32"/>
  <c r="Z41" i="32" s="1"/>
  <c r="AA41" i="32" s="1"/>
  <c r="Y117" i="32"/>
  <c r="Z117" i="32" s="1"/>
  <c r="AA117" i="32" s="1"/>
  <c r="Y96" i="32"/>
  <c r="Z96" i="32" s="1"/>
  <c r="AA96" i="32" s="1"/>
  <c r="Y104" i="32"/>
  <c r="Z104" i="32" s="1"/>
  <c r="AA104" i="32" s="1"/>
  <c r="Y90" i="32"/>
  <c r="Z90" i="32" s="1"/>
  <c r="AA90" i="32" s="1"/>
  <c r="Y53" i="32"/>
  <c r="Z53" i="32" s="1"/>
  <c r="AA53" i="32" s="1"/>
  <c r="Y30" i="32"/>
  <c r="Z30" i="32" s="1"/>
  <c r="AA30" i="32" s="1"/>
  <c r="Y17" i="32"/>
  <c r="Z17" i="32" s="1"/>
  <c r="AA17" i="32" s="1"/>
  <c r="Y84" i="32"/>
  <c r="Z84" i="32"/>
  <c r="AA84" i="32" s="1"/>
  <c r="Y23" i="32"/>
  <c r="Z23" i="32" s="1"/>
  <c r="AA23" i="32" s="1"/>
  <c r="Y66" i="32"/>
  <c r="Z66" i="32" s="1"/>
  <c r="AA66" i="32" s="1"/>
  <c r="Y118" i="32"/>
  <c r="Z118" i="32" s="1"/>
  <c r="AA118" i="32" s="1"/>
  <c r="Y83" i="32"/>
  <c r="Z83" i="32" s="1"/>
  <c r="AA83" i="32" s="1"/>
  <c r="Y15" i="32"/>
  <c r="Z15" i="32" s="1"/>
  <c r="AA15" i="32" s="1"/>
  <c r="Y103" i="32"/>
  <c r="Z103" i="32" s="1"/>
  <c r="AA103" i="32" s="1"/>
  <c r="Y120" i="32"/>
  <c r="Z120" i="32" s="1"/>
  <c r="AA120" i="32" s="1"/>
  <c r="Y56" i="32"/>
  <c r="Z56" i="32" s="1"/>
  <c r="AA56" i="32" s="1"/>
  <c r="Y62" i="32"/>
  <c r="Z62" i="32" s="1"/>
  <c r="AA62" i="32" s="1"/>
  <c r="Y44" i="32"/>
  <c r="Z44" i="32" s="1"/>
  <c r="AA44" i="32" s="1"/>
  <c r="Y54" i="32"/>
  <c r="Z54" i="32"/>
  <c r="AA54" i="32" s="1"/>
  <c r="Y95" i="32"/>
  <c r="Z95" i="32" s="1"/>
  <c r="AA95" i="32" s="1"/>
  <c r="Y61" i="32"/>
  <c r="Z61" i="32" s="1"/>
  <c r="AA61" i="32" s="1"/>
  <c r="Y39" i="32"/>
  <c r="Z39" i="32" s="1"/>
  <c r="AA39" i="32" s="1"/>
  <c r="Y48" i="32"/>
  <c r="Z48" i="32" s="1"/>
  <c r="AA48" i="32" s="1"/>
  <c r="Y18" i="32"/>
  <c r="Z18" i="32" s="1"/>
  <c r="AA18" i="32" s="1"/>
  <c r="Y76" i="32"/>
  <c r="Z76" i="32" s="1"/>
  <c r="AA76" i="32" s="1"/>
  <c r="Y110" i="32"/>
  <c r="Z110" i="32" s="1"/>
  <c r="AA110" i="32" s="1"/>
  <c r="Y124" i="32"/>
  <c r="Z124" i="32" s="1"/>
  <c r="AA124" i="32" s="1"/>
  <c r="Y2" i="32"/>
  <c r="Z2" i="32" s="1"/>
  <c r="AA2" i="32" s="1"/>
  <c r="Y97" i="32"/>
  <c r="Z97" i="32" s="1"/>
  <c r="AA97" i="32" s="1"/>
  <c r="Y64" i="32"/>
  <c r="Z64" i="32" s="1"/>
  <c r="AA64" i="32" s="1"/>
  <c r="Y114" i="32"/>
  <c r="Z114" i="32" s="1"/>
  <c r="AA114" i="32" s="1"/>
  <c r="Y38" i="32"/>
  <c r="Z38" i="32" s="1"/>
  <c r="AA38" i="32" s="1"/>
  <c r="Y115" i="32"/>
  <c r="Z115" i="32" s="1"/>
  <c r="AA115" i="32" s="1"/>
  <c r="Y50" i="32"/>
  <c r="Z50" i="32" s="1"/>
  <c r="AA50" i="32" s="1"/>
  <c r="Y4" i="32"/>
  <c r="Z4" i="32" s="1"/>
  <c r="AA4" i="32" s="1"/>
  <c r="Y36" i="32"/>
  <c r="Z36" i="32" s="1"/>
  <c r="AA36" i="32" s="1"/>
  <c r="Y105" i="32"/>
  <c r="Z105" i="32" s="1"/>
  <c r="AA105" i="32" s="1"/>
  <c r="Y108" i="32"/>
  <c r="Z108" i="32" s="1"/>
  <c r="AA108" i="32" s="1"/>
  <c r="Y24" i="32"/>
  <c r="Z24" i="32" s="1"/>
  <c r="AA24" i="32" s="1"/>
  <c r="Y40" i="32"/>
  <c r="Z40" i="32" s="1"/>
  <c r="AA40" i="32" s="1"/>
  <c r="Y10" i="32"/>
  <c r="Z10" i="32" s="1"/>
  <c r="AA10" i="32" s="1"/>
  <c r="Y45" i="32"/>
  <c r="Z45" i="32" s="1"/>
  <c r="AA45" i="32" s="1"/>
  <c r="Y13" i="32"/>
  <c r="Z13" i="32" s="1"/>
  <c r="AA13" i="32" s="1"/>
  <c r="Y92" i="32"/>
  <c r="Z92" i="32" s="1"/>
  <c r="Y58" i="32"/>
  <c r="Z58" i="32" s="1"/>
  <c r="AA58" i="32" s="1"/>
  <c r="Y81" i="32"/>
  <c r="Z81" i="32" s="1"/>
  <c r="AA81" i="32" s="1"/>
  <c r="Y80" i="32"/>
  <c r="Z80" i="32" s="1"/>
  <c r="AA80" i="32" s="1"/>
  <c r="Y20" i="32"/>
  <c r="Z20" i="32" s="1"/>
  <c r="AA20" i="32" s="1"/>
  <c r="Y29" i="32"/>
  <c r="Z29" i="32" s="1"/>
  <c r="AA29" i="32" s="1"/>
  <c r="Y82" i="32"/>
  <c r="Z82" i="32" s="1"/>
  <c r="Y35" i="32"/>
  <c r="Z35" i="32"/>
  <c r="AA35" i="32" s="1"/>
  <c r="Y57" i="32"/>
  <c r="Z57" i="32" s="1"/>
  <c r="AA57" i="32" s="1"/>
  <c r="Y119" i="32"/>
  <c r="Z119" i="32" s="1"/>
  <c r="AA119" i="32" s="1"/>
  <c r="Y52" i="32"/>
  <c r="Z52" i="32" s="1"/>
  <c r="AA52" i="32" s="1"/>
  <c r="Y109" i="32"/>
  <c r="Z109" i="32" s="1"/>
  <c r="AA109" i="32" s="1"/>
  <c r="Y16" i="32"/>
  <c r="Z16" i="32" s="1"/>
  <c r="AA16" i="32" s="1"/>
  <c r="Y112" i="32"/>
  <c r="Z112" i="32" s="1"/>
  <c r="AA112" i="32" s="1"/>
  <c r="W140" i="31"/>
  <c r="X117" i="31"/>
  <c r="Y117" i="31" s="1"/>
  <c r="V114" i="31"/>
  <c r="V147" i="31"/>
  <c r="V134" i="31"/>
  <c r="V8" i="31"/>
  <c r="V35" i="31"/>
  <c r="V3" i="31"/>
  <c r="V44" i="31"/>
  <c r="V75" i="31"/>
  <c r="W122" i="31"/>
  <c r="X122" i="31" s="1"/>
  <c r="Y122" i="31" s="1"/>
  <c r="V16" i="31"/>
  <c r="V20" i="31"/>
  <c r="V39" i="31"/>
  <c r="V113" i="31"/>
  <c r="V111" i="31"/>
  <c r="V102" i="31"/>
  <c r="W102" i="31" s="1"/>
  <c r="X102" i="31" s="1"/>
  <c r="Y102" i="31" s="1"/>
  <c r="V100" i="31"/>
  <c r="W100" i="31" s="1"/>
  <c r="X100" i="31" s="1"/>
  <c r="Y100" i="31" s="1"/>
  <c r="V87" i="31"/>
  <c r="W87" i="31" s="1"/>
  <c r="X87" i="31" s="1"/>
  <c r="Y87" i="31" s="1"/>
  <c r="X130" i="31"/>
  <c r="Y130" i="31" s="1"/>
  <c r="V88" i="31"/>
  <c r="W134" i="31"/>
  <c r="V125" i="31"/>
  <c r="W125" i="31" s="1"/>
  <c r="X125" i="31" s="1"/>
  <c r="Y125" i="31" s="1"/>
  <c r="V123" i="31"/>
  <c r="W123" i="31" s="1"/>
  <c r="X123" i="31" s="1"/>
  <c r="Y123" i="31" s="1"/>
  <c r="V149" i="31"/>
  <c r="V136" i="31"/>
  <c r="W128" i="31"/>
  <c r="V40" i="31"/>
  <c r="V66" i="31"/>
  <c r="V98" i="31"/>
  <c r="W98" i="31" s="1"/>
  <c r="X98" i="31" s="1"/>
  <c r="Y98" i="31" s="1"/>
  <c r="W146" i="31"/>
  <c r="X146" i="31" s="1"/>
  <c r="Y146" i="31" s="1"/>
  <c r="V124" i="31"/>
  <c r="V122" i="31"/>
  <c r="V89" i="31"/>
  <c r="X119" i="31"/>
  <c r="Y119" i="31" s="1"/>
  <c r="X143" i="31"/>
  <c r="Y143" i="31" s="1"/>
  <c r="X118" i="31"/>
  <c r="Y118" i="31" s="1"/>
  <c r="X129" i="31"/>
  <c r="Y129" i="31" s="1"/>
  <c r="N133" i="31"/>
  <c r="V133" i="31"/>
  <c r="X128" i="31"/>
  <c r="Y128" i="31" s="1"/>
  <c r="N145" i="31"/>
  <c r="V145" i="31"/>
  <c r="W132" i="31"/>
  <c r="X132" i="31" s="1"/>
  <c r="Y132" i="31" s="1"/>
  <c r="W135" i="31"/>
  <c r="X135" i="31" s="1"/>
  <c r="Y135" i="31" s="1"/>
  <c r="V126" i="31"/>
  <c r="W126" i="31" s="1"/>
  <c r="X126" i="31" s="1"/>
  <c r="Y126" i="31" s="1"/>
  <c r="W115" i="31"/>
  <c r="X115" i="31" s="1"/>
  <c r="Y115" i="31" s="1"/>
  <c r="V84" i="31"/>
  <c r="W84" i="31" s="1"/>
  <c r="X84" i="31" s="1"/>
  <c r="Y84" i="31" s="1"/>
  <c r="N113" i="31"/>
  <c r="N110" i="31"/>
  <c r="X104" i="31"/>
  <c r="Y104" i="31" s="1"/>
  <c r="W148" i="31"/>
  <c r="X148" i="31"/>
  <c r="Y148" i="31" s="1"/>
  <c r="W111" i="31"/>
  <c r="X111" i="31"/>
  <c r="Y111" i="31" s="1"/>
  <c r="W139" i="31"/>
  <c r="X139" i="31" s="1"/>
  <c r="Y139" i="31" s="1"/>
  <c r="W114" i="31"/>
  <c r="X114" i="31"/>
  <c r="Y114" i="31" s="1"/>
  <c r="W91" i="31"/>
  <c r="X91" i="31"/>
  <c r="Y91" i="31" s="1"/>
  <c r="W137" i="31"/>
  <c r="X137" i="31" s="1"/>
  <c r="Y137" i="31" s="1"/>
  <c r="W112" i="31"/>
  <c r="X112" i="31" s="1"/>
  <c r="Y112" i="31" s="1"/>
  <c r="W89" i="31"/>
  <c r="X89" i="31" s="1"/>
  <c r="Y89" i="31" s="1"/>
  <c r="W149" i="31"/>
  <c r="X149" i="31" s="1"/>
  <c r="Y149" i="31" s="1"/>
  <c r="X140" i="31"/>
  <c r="Y140" i="31" s="1"/>
  <c r="W103" i="31"/>
  <c r="X103" i="31"/>
  <c r="Y103" i="31" s="1"/>
  <c r="V132" i="31"/>
  <c r="N97" i="31"/>
  <c r="V97" i="31"/>
  <c r="X95" i="31"/>
  <c r="Y95" i="31" s="1"/>
  <c r="X92" i="31"/>
  <c r="Y92" i="31" s="1"/>
  <c r="W124" i="31"/>
  <c r="X124" i="31" s="1"/>
  <c r="Y124" i="31" s="1"/>
  <c r="W101" i="31"/>
  <c r="X101" i="31" s="1"/>
  <c r="Y101" i="31" s="1"/>
  <c r="W147" i="31"/>
  <c r="X147" i="31"/>
  <c r="Y147" i="31" s="1"/>
  <c r="V144" i="31"/>
  <c r="W144" i="31" s="1"/>
  <c r="X144" i="31" s="1"/>
  <c r="Y144" i="31" s="1"/>
  <c r="N109" i="31"/>
  <c r="V109" i="31"/>
  <c r="V138" i="31"/>
  <c r="W138" i="31" s="1"/>
  <c r="X138" i="31" s="1"/>
  <c r="Y138" i="31" s="1"/>
  <c r="N136" i="31"/>
  <c r="X134" i="31"/>
  <c r="Y134" i="31" s="1"/>
  <c r="W127" i="31"/>
  <c r="X127" i="31" s="1"/>
  <c r="Y127" i="31" s="1"/>
  <c r="X108" i="31"/>
  <c r="Y108" i="31" s="1"/>
  <c r="N99" i="31"/>
  <c r="V96" i="31"/>
  <c r="W96" i="31" s="1"/>
  <c r="X96" i="31" s="1"/>
  <c r="Y96" i="31" s="1"/>
  <c r="N85" i="31"/>
  <c r="V85" i="31"/>
  <c r="N121" i="31"/>
  <c r="V121" i="31"/>
  <c r="X116" i="31"/>
  <c r="Y116" i="31" s="1"/>
  <c r="V90" i="31"/>
  <c r="W90" i="31" s="1"/>
  <c r="X90" i="31" s="1"/>
  <c r="Y90" i="31" s="1"/>
  <c r="N88" i="31"/>
  <c r="X86" i="31"/>
  <c r="Y86" i="31" s="1"/>
  <c r="V26" i="31"/>
  <c r="V34" i="31"/>
  <c r="V50" i="31"/>
  <c r="V57" i="31"/>
  <c r="V10" i="31"/>
  <c r="N12" i="31"/>
  <c r="V17" i="31"/>
  <c r="V24" i="31"/>
  <c r="W24" i="31" s="1"/>
  <c r="X24" i="31" s="1"/>
  <c r="Y24" i="31" s="1"/>
  <c r="V9" i="31"/>
  <c r="V2" i="31"/>
  <c r="V70" i="31"/>
  <c r="V55" i="31"/>
  <c r="V62" i="31"/>
  <c r="V77" i="31"/>
  <c r="V14" i="31"/>
  <c r="N70" i="31"/>
  <c r="V5" i="31"/>
  <c r="W5" i="31" s="1"/>
  <c r="X5" i="31" s="1"/>
  <c r="Y5" i="31" s="1"/>
  <c r="N10" i="31"/>
  <c r="W10" i="31" s="1"/>
  <c r="X10" i="31" s="1"/>
  <c r="Y10" i="31" s="1"/>
  <c r="V38" i="31"/>
  <c r="V46" i="31"/>
  <c r="W46" i="31" s="1"/>
  <c r="X46" i="31" s="1"/>
  <c r="Y46" i="31" s="1"/>
  <c r="V60" i="31"/>
  <c r="W60" i="31" s="1"/>
  <c r="X60" i="31" s="1"/>
  <c r="Y60" i="31" s="1"/>
  <c r="V67" i="31"/>
  <c r="V33" i="31"/>
  <c r="V41" i="31"/>
  <c r="V7" i="31"/>
  <c r="V22" i="31"/>
  <c r="V48" i="31"/>
  <c r="V31" i="31"/>
  <c r="N27" i="31"/>
  <c r="V12" i="31"/>
  <c r="N22" i="31"/>
  <c r="W22" i="31" s="1"/>
  <c r="X22" i="31" s="1"/>
  <c r="Y22" i="31" s="1"/>
  <c r="V29" i="31"/>
  <c r="W29" i="31" s="1"/>
  <c r="X29" i="31" s="1"/>
  <c r="Y29" i="31" s="1"/>
  <c r="N34" i="31"/>
  <c r="W34" i="31" s="1"/>
  <c r="X34" i="31" s="1"/>
  <c r="Y34" i="31" s="1"/>
  <c r="V53" i="31"/>
  <c r="V82" i="31"/>
  <c r="W82" i="31" s="1"/>
  <c r="X82" i="31" s="1"/>
  <c r="Y82" i="31" s="1"/>
  <c r="W58" i="31"/>
  <c r="X58" i="31" s="1"/>
  <c r="Y58" i="31" s="1"/>
  <c r="N81" i="31"/>
  <c r="N32" i="31"/>
  <c r="J36" i="31"/>
  <c r="N36" i="31" s="1"/>
  <c r="J39" i="31"/>
  <c r="N39" i="31" s="1"/>
  <c r="J16" i="31"/>
  <c r="J43" i="31"/>
  <c r="N43" i="31" s="1"/>
  <c r="J81" i="31"/>
  <c r="J19" i="31"/>
  <c r="N19" i="31" s="1"/>
  <c r="J69" i="31"/>
  <c r="J77" i="31"/>
  <c r="N77" i="31" s="1"/>
  <c r="V18" i="31"/>
  <c r="N18" i="31"/>
  <c r="J64" i="31"/>
  <c r="N64" i="31" s="1"/>
  <c r="N69" i="31"/>
  <c r="J79" i="31"/>
  <c r="N79" i="31" s="1"/>
  <c r="N44" i="31"/>
  <c r="J50" i="31"/>
  <c r="J57" i="31"/>
  <c r="V49" i="31"/>
  <c r="N49" i="31"/>
  <c r="N50" i="31"/>
  <c r="N52" i="31"/>
  <c r="N57" i="31"/>
  <c r="N62" i="31"/>
  <c r="W7" i="31"/>
  <c r="X7" i="31" s="1"/>
  <c r="Y7" i="31" s="1"/>
  <c r="V6" i="31"/>
  <c r="N6" i="31"/>
  <c r="J38" i="31"/>
  <c r="J14" i="31"/>
  <c r="J15" i="31"/>
  <c r="N38" i="31"/>
  <c r="N14" i="31"/>
  <c r="J41" i="31"/>
  <c r="N41" i="31" s="1"/>
  <c r="J45" i="31"/>
  <c r="W72" i="31"/>
  <c r="X72" i="31" s="1"/>
  <c r="Y72" i="31" s="1"/>
  <c r="J21" i="31"/>
  <c r="V42" i="31"/>
  <c r="N42" i="31"/>
  <c r="J71" i="31"/>
  <c r="J74" i="31"/>
  <c r="N74" i="31" s="1"/>
  <c r="N15" i="31"/>
  <c r="N21" i="31"/>
  <c r="N80" i="31"/>
  <c r="V80" i="31"/>
  <c r="J52" i="31"/>
  <c r="J65" i="31"/>
  <c r="N65" i="31" s="1"/>
  <c r="J67" i="31"/>
  <c r="N67" i="31" s="1"/>
  <c r="V73" i="31"/>
  <c r="N73" i="31"/>
  <c r="N75" i="31"/>
  <c r="N20" i="31"/>
  <c r="J26" i="31"/>
  <c r="N26" i="31" s="1"/>
  <c r="V25" i="31"/>
  <c r="N25" i="31"/>
  <c r="J28" i="31"/>
  <c r="J53" i="31"/>
  <c r="N53" i="31" s="1"/>
  <c r="J55" i="31"/>
  <c r="N55" i="31" s="1"/>
  <c r="V56" i="31"/>
  <c r="N56" i="31"/>
  <c r="V61" i="31"/>
  <c r="N61" i="31"/>
  <c r="N63" i="31"/>
  <c r="J9" i="31"/>
  <c r="N9" i="31" s="1"/>
  <c r="V30" i="31"/>
  <c r="N30" i="31"/>
  <c r="J40" i="31"/>
  <c r="N8" i="31"/>
  <c r="V37" i="31"/>
  <c r="N37" i="31"/>
  <c r="N40" i="31"/>
  <c r="V13" i="31"/>
  <c r="N13" i="31"/>
  <c r="N16" i="31"/>
  <c r="J76" i="31"/>
  <c r="N76" i="31" s="1"/>
  <c r="J17" i="31"/>
  <c r="N17" i="31" s="1"/>
  <c r="N45" i="31"/>
  <c r="J48" i="31"/>
  <c r="N48" i="31" s="1"/>
  <c r="J59" i="31"/>
  <c r="J62" i="31"/>
  <c r="N68" i="31"/>
  <c r="V68" i="31"/>
  <c r="J2" i="31"/>
  <c r="N2" i="31" s="1"/>
  <c r="J3" i="31"/>
  <c r="N3" i="31" s="1"/>
  <c r="J4" i="31"/>
  <c r="N4" i="31" s="1"/>
  <c r="N28" i="31"/>
  <c r="N51" i="31"/>
  <c r="W31" i="31"/>
  <c r="X31" i="31" s="1"/>
  <c r="Y31" i="31" s="1"/>
  <c r="J33" i="31"/>
  <c r="N33" i="31" s="1"/>
  <c r="N59" i="31"/>
  <c r="N71" i="31"/>
  <c r="N78" i="31"/>
  <c r="N47" i="31"/>
  <c r="N66" i="31"/>
  <c r="N11" i="31"/>
  <c r="N23" i="31"/>
  <c r="N35" i="31"/>
  <c r="N54" i="31"/>
  <c r="AA82" i="32" l="1"/>
  <c r="Z128" i="32"/>
  <c r="AA92" i="32"/>
  <c r="W12" i="31"/>
  <c r="W97" i="31"/>
  <c r="X97" i="31" s="1"/>
  <c r="Y97" i="31" s="1"/>
  <c r="W99" i="31"/>
  <c r="X99" i="31"/>
  <c r="Y99" i="31" s="1"/>
  <c r="W88" i="31"/>
  <c r="X88" i="31"/>
  <c r="Y88" i="31" s="1"/>
  <c r="W133" i="31"/>
  <c r="X133" i="31"/>
  <c r="Y133" i="31" s="1"/>
  <c r="W145" i="31"/>
  <c r="X145" i="31"/>
  <c r="Y145" i="31" s="1"/>
  <c r="W136" i="31"/>
  <c r="X136" i="31" s="1"/>
  <c r="Y136" i="31" s="1"/>
  <c r="W121" i="31"/>
  <c r="X121" i="31" s="1"/>
  <c r="Y121" i="31" s="1"/>
  <c r="W113" i="31"/>
  <c r="X113" i="31" s="1"/>
  <c r="Y113" i="31" s="1"/>
  <c r="W85" i="31"/>
  <c r="X85" i="31" s="1"/>
  <c r="Y85" i="31" s="1"/>
  <c r="W109" i="31"/>
  <c r="X109" i="31"/>
  <c r="Y109" i="31" s="1"/>
  <c r="W110" i="31"/>
  <c r="X110" i="31"/>
  <c r="Y110" i="31" s="1"/>
  <c r="W70" i="31"/>
  <c r="X70" i="31" s="1"/>
  <c r="Y70" i="31" s="1"/>
  <c r="X12" i="31"/>
  <c r="Y12" i="31" s="1"/>
  <c r="W27" i="31"/>
  <c r="X27" i="31" s="1"/>
  <c r="Y27" i="31" s="1"/>
  <c r="W33" i="31"/>
  <c r="X33" i="31" s="1"/>
  <c r="Y33" i="31" s="1"/>
  <c r="W26" i="31"/>
  <c r="X26" i="31" s="1"/>
  <c r="Y26" i="31" s="1"/>
  <c r="W9" i="31"/>
  <c r="X9" i="31" s="1"/>
  <c r="Y9" i="31" s="1"/>
  <c r="W76" i="31"/>
  <c r="X76" i="31" s="1"/>
  <c r="Y76" i="31" s="1"/>
  <c r="W39" i="31"/>
  <c r="X39" i="31" s="1"/>
  <c r="Y39" i="31" s="1"/>
  <c r="W74" i="31"/>
  <c r="X74" i="31"/>
  <c r="Y74" i="31" s="1"/>
  <c r="W4" i="31"/>
  <c r="X4" i="31" s="1"/>
  <c r="Y4" i="31" s="1"/>
  <c r="W2" i="31"/>
  <c r="X2" i="31" s="1"/>
  <c r="Y2" i="31" s="1"/>
  <c r="W64" i="31"/>
  <c r="X64" i="31" s="1"/>
  <c r="Y64" i="31" s="1"/>
  <c r="W11" i="31"/>
  <c r="X11" i="31" s="1"/>
  <c r="Y11" i="31" s="1"/>
  <c r="W21" i="31"/>
  <c r="X21" i="31" s="1"/>
  <c r="Y21" i="31" s="1"/>
  <c r="W62" i="31"/>
  <c r="X62" i="31" s="1"/>
  <c r="Y62" i="31" s="1"/>
  <c r="W63" i="31"/>
  <c r="X63" i="31" s="1"/>
  <c r="Y63" i="31" s="1"/>
  <c r="W40" i="31"/>
  <c r="X40" i="31" s="1"/>
  <c r="Y40" i="31" s="1"/>
  <c r="W67" i="31"/>
  <c r="X67" i="31" s="1"/>
  <c r="Y67" i="31" s="1"/>
  <c r="W6" i="31"/>
  <c r="X6" i="31" s="1"/>
  <c r="Y6" i="31" s="1"/>
  <c r="W55" i="31"/>
  <c r="X55" i="31" s="1"/>
  <c r="Y55" i="31" s="1"/>
  <c r="W65" i="31"/>
  <c r="X65" i="31" s="1"/>
  <c r="Y65" i="31" s="1"/>
  <c r="W81" i="31"/>
  <c r="X81" i="31" s="1"/>
  <c r="Y81" i="31" s="1"/>
  <c r="W41" i="31"/>
  <c r="X41" i="31" s="1"/>
  <c r="Y41" i="31" s="1"/>
  <c r="W69" i="31"/>
  <c r="X69" i="31" s="1"/>
  <c r="Y69" i="31" s="1"/>
  <c r="W36" i="31"/>
  <c r="X36" i="31" s="1"/>
  <c r="Y36" i="31" s="1"/>
  <c r="W16" i="31"/>
  <c r="X16" i="31"/>
  <c r="Y16" i="31" s="1"/>
  <c r="W38" i="31"/>
  <c r="X38" i="31" s="1"/>
  <c r="Y38" i="31" s="1"/>
  <c r="W32" i="31"/>
  <c r="X32" i="31" s="1"/>
  <c r="Y32" i="31" s="1"/>
  <c r="W61" i="31"/>
  <c r="X61" i="31" s="1"/>
  <c r="Y61" i="31" s="1"/>
  <c r="W73" i="31"/>
  <c r="X73" i="31" s="1"/>
  <c r="Y73" i="31" s="1"/>
  <c r="W50" i="31"/>
  <c r="X50" i="31" s="1"/>
  <c r="Y50" i="31" s="1"/>
  <c r="W18" i="31"/>
  <c r="X18" i="31"/>
  <c r="Y18" i="31" s="1"/>
  <c r="W37" i="31"/>
  <c r="X37" i="31" s="1"/>
  <c r="Y37" i="31" s="1"/>
  <c r="W77" i="31"/>
  <c r="X77" i="31" s="1"/>
  <c r="Y77" i="31" s="1"/>
  <c r="W8" i="31"/>
  <c r="X8" i="31" s="1"/>
  <c r="Y8" i="31" s="1"/>
  <c r="W19" i="31"/>
  <c r="X19" i="31" s="1"/>
  <c r="Y19" i="31" s="1"/>
  <c r="W28" i="31"/>
  <c r="X28" i="31" s="1"/>
  <c r="Y28" i="31" s="1"/>
  <c r="W47" i="31"/>
  <c r="X47" i="31"/>
  <c r="Y47" i="31" s="1"/>
  <c r="W15" i="31"/>
  <c r="X15" i="31" s="1"/>
  <c r="Y15" i="31" s="1"/>
  <c r="W78" i="31"/>
  <c r="X78" i="31" s="1"/>
  <c r="Y78" i="31" s="1"/>
  <c r="W75" i="31"/>
  <c r="X75" i="31" s="1"/>
  <c r="Y75" i="31" s="1"/>
  <c r="W59" i="31"/>
  <c r="X59" i="31" s="1"/>
  <c r="Y59" i="31" s="1"/>
  <c r="W56" i="31"/>
  <c r="X56" i="31" s="1"/>
  <c r="Y56" i="31" s="1"/>
  <c r="W49" i="31"/>
  <c r="X49" i="31" s="1"/>
  <c r="Y49" i="31" s="1"/>
  <c r="W42" i="31"/>
  <c r="X42" i="31"/>
  <c r="W53" i="31"/>
  <c r="X53" i="31" s="1"/>
  <c r="Y53" i="31" s="1"/>
  <c r="W54" i="31"/>
  <c r="X54" i="31" s="1"/>
  <c r="Y54" i="31" s="1"/>
  <c r="W48" i="31"/>
  <c r="X48" i="31" s="1"/>
  <c r="Y48" i="31" s="1"/>
  <c r="W44" i="31"/>
  <c r="X44" i="31" s="1"/>
  <c r="Y44" i="31" s="1"/>
  <c r="W17" i="31"/>
  <c r="X17" i="31"/>
  <c r="Y17" i="31" s="1"/>
  <c r="W66" i="31"/>
  <c r="X66" i="31" s="1"/>
  <c r="Y66" i="31" s="1"/>
  <c r="W14" i="31"/>
  <c r="X14" i="31" s="1"/>
  <c r="Y14" i="31" s="1"/>
  <c r="W3" i="31"/>
  <c r="X3" i="31" s="1"/>
  <c r="Y3" i="31" s="1"/>
  <c r="W20" i="31"/>
  <c r="X20" i="31" s="1"/>
  <c r="Y20" i="31" s="1"/>
  <c r="W57" i="31"/>
  <c r="X57" i="31" s="1"/>
  <c r="Y57" i="31" s="1"/>
  <c r="W13" i="31"/>
  <c r="X13" i="31" s="1"/>
  <c r="Y13" i="31" s="1"/>
  <c r="W52" i="31"/>
  <c r="X52" i="31" s="1"/>
  <c r="Y52" i="31" s="1"/>
  <c r="W71" i="31"/>
  <c r="X71" i="31" s="1"/>
  <c r="Y71" i="31" s="1"/>
  <c r="W68" i="31"/>
  <c r="X68" i="31" s="1"/>
  <c r="Y68" i="31" s="1"/>
  <c r="W35" i="31"/>
  <c r="X35" i="31" s="1"/>
  <c r="Y35" i="31" s="1"/>
  <c r="W45" i="31"/>
  <c r="X45" i="31" s="1"/>
  <c r="Y45" i="31" s="1"/>
  <c r="W80" i="31"/>
  <c r="X80" i="31" s="1"/>
  <c r="Y80" i="31" s="1"/>
  <c r="W79" i="31"/>
  <c r="X79" i="31" s="1"/>
  <c r="Y79" i="31" s="1"/>
  <c r="W43" i="31"/>
  <c r="X43" i="31" s="1"/>
  <c r="Y43" i="31" s="1"/>
  <c r="W23" i="31"/>
  <c r="X23" i="31"/>
  <c r="Y23" i="31" s="1"/>
  <c r="W51" i="31"/>
  <c r="X51" i="31" s="1"/>
  <c r="Y51" i="31" s="1"/>
  <c r="W30" i="31"/>
  <c r="X30" i="31"/>
  <c r="Y30" i="31" s="1"/>
  <c r="W25" i="31"/>
  <c r="X25" i="31" s="1"/>
  <c r="Y25" i="31" s="1"/>
  <c r="AA128" i="32" l="1"/>
  <c r="Y42" i="31"/>
  <c r="Y85" i="30" l="1"/>
  <c r="X85" i="30"/>
  <c r="X70" i="30"/>
  <c r="Y70" i="30" s="1"/>
  <c r="L63" i="30"/>
  <c r="N63" i="30" s="1"/>
  <c r="M63" i="30"/>
  <c r="O63" i="30"/>
  <c r="R63" i="30"/>
  <c r="S63" i="30"/>
  <c r="U63" i="30"/>
  <c r="V63" i="30"/>
  <c r="L64" i="30"/>
  <c r="V64" i="30" s="1"/>
  <c r="M64" i="30"/>
  <c r="N64" i="30"/>
  <c r="O64" i="30"/>
  <c r="R64" i="30"/>
  <c r="S64" i="30"/>
  <c r="U64" i="30"/>
  <c r="L65" i="30"/>
  <c r="V65" i="30" s="1"/>
  <c r="M65" i="30"/>
  <c r="N65" i="30"/>
  <c r="W65" i="30" s="1"/>
  <c r="O65" i="30"/>
  <c r="R65" i="30"/>
  <c r="X65" i="30" s="1"/>
  <c r="Y65" i="30" s="1"/>
  <c r="S65" i="30"/>
  <c r="U65" i="30"/>
  <c r="L66" i="30"/>
  <c r="M66" i="30"/>
  <c r="N66" i="30"/>
  <c r="O66" i="30"/>
  <c r="R66" i="30"/>
  <c r="S66" i="30"/>
  <c r="U66" i="30"/>
  <c r="V66" i="30"/>
  <c r="W66" i="30"/>
  <c r="X66" i="30" s="1"/>
  <c r="Y66" i="30" s="1"/>
  <c r="L67" i="30"/>
  <c r="N67" i="30" s="1"/>
  <c r="W67" i="30" s="1"/>
  <c r="M67" i="30"/>
  <c r="O67" i="30"/>
  <c r="R67" i="30"/>
  <c r="S67" i="30"/>
  <c r="U67" i="30"/>
  <c r="V67" i="30"/>
  <c r="L68" i="30"/>
  <c r="M68" i="30"/>
  <c r="N68" i="30"/>
  <c r="O68" i="30"/>
  <c r="R68" i="30"/>
  <c r="S68" i="30"/>
  <c r="U68" i="30"/>
  <c r="L69" i="30"/>
  <c r="M69" i="30"/>
  <c r="N69" i="30"/>
  <c r="O69" i="30"/>
  <c r="R69" i="30"/>
  <c r="S69" i="30"/>
  <c r="U69" i="30"/>
  <c r="L70" i="30"/>
  <c r="M70" i="30"/>
  <c r="N70" i="30"/>
  <c r="O70" i="30"/>
  <c r="R70" i="30"/>
  <c r="S70" i="30"/>
  <c r="U70" i="30"/>
  <c r="V70" i="30"/>
  <c r="W70" i="30"/>
  <c r="L71" i="30"/>
  <c r="N71" i="30" s="1"/>
  <c r="M71" i="30"/>
  <c r="O71" i="30"/>
  <c r="R71" i="30"/>
  <c r="S71" i="30"/>
  <c r="U71" i="30"/>
  <c r="V71" i="30"/>
  <c r="L72" i="30"/>
  <c r="V72" i="30" s="1"/>
  <c r="M72" i="30"/>
  <c r="N72" i="30"/>
  <c r="O72" i="30"/>
  <c r="R72" i="30"/>
  <c r="S72" i="30"/>
  <c r="U72" i="30"/>
  <c r="L73" i="30"/>
  <c r="V73" i="30" s="1"/>
  <c r="M73" i="30"/>
  <c r="N73" i="30"/>
  <c r="W73" i="30" s="1"/>
  <c r="O73" i="30"/>
  <c r="R73" i="30"/>
  <c r="X73" i="30" s="1"/>
  <c r="Y73" i="30" s="1"/>
  <c r="S73" i="30"/>
  <c r="U73" i="30"/>
  <c r="L74" i="30"/>
  <c r="M74" i="30"/>
  <c r="N74" i="30"/>
  <c r="O74" i="30"/>
  <c r="R74" i="30"/>
  <c r="S74" i="30"/>
  <c r="U74" i="30"/>
  <c r="V74" i="30"/>
  <c r="W74" i="30"/>
  <c r="X74" i="30" s="1"/>
  <c r="Y74" i="30" s="1"/>
  <c r="L75" i="30"/>
  <c r="N75" i="30" s="1"/>
  <c r="W75" i="30" s="1"/>
  <c r="X75" i="30" s="1"/>
  <c r="Y75" i="30" s="1"/>
  <c r="M75" i="30"/>
  <c r="O75" i="30"/>
  <c r="R75" i="30"/>
  <c r="S75" i="30"/>
  <c r="U75" i="30"/>
  <c r="V75" i="30"/>
  <c r="L76" i="30"/>
  <c r="M76" i="30"/>
  <c r="N76" i="30"/>
  <c r="O76" i="30"/>
  <c r="R76" i="30"/>
  <c r="S76" i="30"/>
  <c r="U76" i="30"/>
  <c r="L77" i="30"/>
  <c r="M77" i="30"/>
  <c r="N77" i="30"/>
  <c r="O77" i="30"/>
  <c r="R77" i="30"/>
  <c r="S77" i="30"/>
  <c r="U77" i="30"/>
  <c r="L78" i="30"/>
  <c r="M78" i="30"/>
  <c r="N78" i="30"/>
  <c r="O78" i="30"/>
  <c r="R78" i="30"/>
  <c r="X78" i="30" s="1"/>
  <c r="Y78" i="30" s="1"/>
  <c r="S78" i="30"/>
  <c r="U78" i="30"/>
  <c r="V78" i="30"/>
  <c r="W78" i="30"/>
  <c r="L79" i="30"/>
  <c r="N79" i="30" s="1"/>
  <c r="M79" i="30"/>
  <c r="O79" i="30"/>
  <c r="R79" i="30"/>
  <c r="S79" i="30"/>
  <c r="U79" i="30"/>
  <c r="V79" i="30"/>
  <c r="L80" i="30"/>
  <c r="V80" i="30" s="1"/>
  <c r="M80" i="30"/>
  <c r="N80" i="30"/>
  <c r="O80" i="30"/>
  <c r="R80" i="30"/>
  <c r="S80" i="30"/>
  <c r="U80" i="30"/>
  <c r="L81" i="30"/>
  <c r="V81" i="30" s="1"/>
  <c r="M81" i="30"/>
  <c r="N81" i="30"/>
  <c r="W81" i="30" s="1"/>
  <c r="X81" i="30" s="1"/>
  <c r="Y81" i="30" s="1"/>
  <c r="O81" i="30"/>
  <c r="R81" i="30"/>
  <c r="S81" i="30"/>
  <c r="U81" i="30"/>
  <c r="L82" i="30"/>
  <c r="M82" i="30"/>
  <c r="N82" i="30"/>
  <c r="O82" i="30"/>
  <c r="R82" i="30"/>
  <c r="S82" i="30"/>
  <c r="U82" i="30"/>
  <c r="V82" i="30"/>
  <c r="W82" i="30"/>
  <c r="X82" i="30" s="1"/>
  <c r="Y82" i="30" s="1"/>
  <c r="B63" i="30"/>
  <c r="D63" i="30"/>
  <c r="E63" i="30"/>
  <c r="G63" i="30"/>
  <c r="I63" i="30"/>
  <c r="J63" i="30"/>
  <c r="B64" i="30"/>
  <c r="D64" i="30"/>
  <c r="E64" i="30"/>
  <c r="G64" i="30"/>
  <c r="I64" i="30"/>
  <c r="J64" i="30"/>
  <c r="B65" i="30"/>
  <c r="D65" i="30"/>
  <c r="E65" i="30"/>
  <c r="G65" i="30"/>
  <c r="I65" i="30"/>
  <c r="J65" i="30"/>
  <c r="B66" i="30"/>
  <c r="D66" i="30"/>
  <c r="E66" i="30"/>
  <c r="G66" i="30"/>
  <c r="I66" i="30"/>
  <c r="J66" i="30"/>
  <c r="B67" i="30"/>
  <c r="D67" i="30"/>
  <c r="E67" i="30"/>
  <c r="G67" i="30"/>
  <c r="I67" i="30"/>
  <c r="J67" i="30"/>
  <c r="B68" i="30"/>
  <c r="D68" i="30"/>
  <c r="E68" i="30"/>
  <c r="G68" i="30"/>
  <c r="I68" i="30"/>
  <c r="J68" i="30"/>
  <c r="B69" i="30"/>
  <c r="D69" i="30"/>
  <c r="E69" i="30"/>
  <c r="G69" i="30"/>
  <c r="I69" i="30"/>
  <c r="J69" i="30"/>
  <c r="B70" i="30"/>
  <c r="D70" i="30"/>
  <c r="E70" i="30"/>
  <c r="G70" i="30"/>
  <c r="I70" i="30"/>
  <c r="J70" i="30"/>
  <c r="B71" i="30"/>
  <c r="D71" i="30"/>
  <c r="E71" i="30"/>
  <c r="G71" i="30"/>
  <c r="I71" i="30"/>
  <c r="J71" i="30"/>
  <c r="B72" i="30"/>
  <c r="D72" i="30"/>
  <c r="E72" i="30"/>
  <c r="G72" i="30"/>
  <c r="I72" i="30"/>
  <c r="J72" i="30"/>
  <c r="B73" i="30"/>
  <c r="D73" i="30"/>
  <c r="E73" i="30"/>
  <c r="G73" i="30"/>
  <c r="I73" i="30"/>
  <c r="J73" i="30"/>
  <c r="B74" i="30"/>
  <c r="D74" i="30"/>
  <c r="E74" i="30"/>
  <c r="G74" i="30"/>
  <c r="I74" i="30"/>
  <c r="J74" i="30"/>
  <c r="B75" i="30"/>
  <c r="D75" i="30"/>
  <c r="E75" i="30"/>
  <c r="G75" i="30"/>
  <c r="I75" i="30"/>
  <c r="J75" i="30"/>
  <c r="B76" i="30"/>
  <c r="D76" i="30"/>
  <c r="E76" i="30"/>
  <c r="G76" i="30"/>
  <c r="I76" i="30"/>
  <c r="J76" i="30"/>
  <c r="B77" i="30"/>
  <c r="D77" i="30"/>
  <c r="E77" i="30"/>
  <c r="G77" i="30"/>
  <c r="I77" i="30"/>
  <c r="J77" i="30"/>
  <c r="B78" i="30"/>
  <c r="D78" i="30"/>
  <c r="E78" i="30"/>
  <c r="G78" i="30"/>
  <c r="I78" i="30"/>
  <c r="J78" i="30"/>
  <c r="B79" i="30"/>
  <c r="D79" i="30"/>
  <c r="E79" i="30"/>
  <c r="G79" i="30"/>
  <c r="I79" i="30"/>
  <c r="J79" i="30"/>
  <c r="B80" i="30"/>
  <c r="D80" i="30"/>
  <c r="E80" i="30"/>
  <c r="G80" i="30"/>
  <c r="I80" i="30"/>
  <c r="J80" i="30"/>
  <c r="B81" i="30"/>
  <c r="D81" i="30"/>
  <c r="E81" i="30"/>
  <c r="G81" i="30"/>
  <c r="I81" i="30"/>
  <c r="J81" i="30"/>
  <c r="B82" i="30"/>
  <c r="D82" i="30"/>
  <c r="E82" i="30"/>
  <c r="G82" i="30"/>
  <c r="I82" i="30"/>
  <c r="J82" i="30"/>
  <c r="V68" i="30" l="1"/>
  <c r="W79" i="30"/>
  <c r="X79" i="30" s="1"/>
  <c r="Y79" i="30" s="1"/>
  <c r="W80" i="30"/>
  <c r="X80" i="30" s="1"/>
  <c r="Y80" i="30" s="1"/>
  <c r="W72" i="30"/>
  <c r="X72" i="30" s="1"/>
  <c r="Y72" i="30" s="1"/>
  <c r="X67" i="30"/>
  <c r="Y67" i="30" s="1"/>
  <c r="W64" i="30"/>
  <c r="X64" i="30" s="1"/>
  <c r="Y64" i="30" s="1"/>
  <c r="X71" i="30"/>
  <c r="Y71" i="30" s="1"/>
  <c r="V76" i="30"/>
  <c r="W76" i="30" s="1"/>
  <c r="X76" i="30" s="1"/>
  <c r="Y76" i="30" s="1"/>
  <c r="W71" i="30"/>
  <c r="W63" i="30"/>
  <c r="X63" i="30" s="1"/>
  <c r="Y63" i="30" s="1"/>
  <c r="V77" i="30"/>
  <c r="W77" i="30" s="1"/>
  <c r="X77" i="30" s="1"/>
  <c r="Y77" i="30" s="1"/>
  <c r="V69" i="30"/>
  <c r="W69" i="30" s="1"/>
  <c r="X69" i="30" s="1"/>
  <c r="Y69" i="30" s="1"/>
  <c r="W68" i="30"/>
  <c r="X68" i="30" s="1"/>
  <c r="Y68" i="30" s="1"/>
  <c r="Y86" i="28"/>
  <c r="X86" i="28"/>
  <c r="Y86" i="27"/>
  <c r="X86" i="27"/>
  <c r="U62" i="30"/>
  <c r="S62" i="30"/>
  <c r="R62" i="30"/>
  <c r="O62" i="30"/>
  <c r="M62" i="30"/>
  <c r="L62" i="30"/>
  <c r="I62" i="30"/>
  <c r="G62" i="30"/>
  <c r="D62" i="30"/>
  <c r="E62" i="30" s="1"/>
  <c r="B62" i="30"/>
  <c r="U61" i="30"/>
  <c r="S61" i="30"/>
  <c r="R61" i="30"/>
  <c r="O61" i="30"/>
  <c r="M61" i="30"/>
  <c r="L61" i="30"/>
  <c r="I61" i="30"/>
  <c r="J61" i="30" s="1"/>
  <c r="G61" i="30"/>
  <c r="E61" i="30"/>
  <c r="D61" i="30"/>
  <c r="B61" i="30"/>
  <c r="U60" i="30"/>
  <c r="S60" i="30"/>
  <c r="R60" i="30"/>
  <c r="O60" i="30"/>
  <c r="M60" i="30"/>
  <c r="L60" i="30"/>
  <c r="J60" i="30"/>
  <c r="I60" i="30"/>
  <c r="G60" i="30"/>
  <c r="E60" i="30"/>
  <c r="D60" i="30"/>
  <c r="B60" i="30"/>
  <c r="U59" i="30"/>
  <c r="S59" i="30"/>
  <c r="R59" i="30"/>
  <c r="O59" i="30"/>
  <c r="M59" i="30"/>
  <c r="L59" i="30"/>
  <c r="I59" i="30"/>
  <c r="G59" i="30"/>
  <c r="D59" i="30"/>
  <c r="E59" i="30" s="1"/>
  <c r="B59" i="30"/>
  <c r="U58" i="30"/>
  <c r="S58" i="30"/>
  <c r="R58" i="30"/>
  <c r="O58" i="30"/>
  <c r="M58" i="30"/>
  <c r="L58" i="30"/>
  <c r="I58" i="30"/>
  <c r="J58" i="30" s="1"/>
  <c r="N58" i="30" s="1"/>
  <c r="G58" i="30"/>
  <c r="E58" i="30"/>
  <c r="D58" i="30"/>
  <c r="B58" i="30"/>
  <c r="U57" i="30"/>
  <c r="S57" i="30"/>
  <c r="R57" i="30"/>
  <c r="O57" i="30"/>
  <c r="M57" i="30"/>
  <c r="L57" i="30"/>
  <c r="I57" i="30"/>
  <c r="G57" i="30"/>
  <c r="D57" i="30"/>
  <c r="E57" i="30" s="1"/>
  <c r="J57" i="30" s="1"/>
  <c r="N57" i="30" s="1"/>
  <c r="B57" i="30"/>
  <c r="U56" i="30"/>
  <c r="S56" i="30"/>
  <c r="R56" i="30"/>
  <c r="O56" i="30"/>
  <c r="M56" i="30"/>
  <c r="L56" i="30"/>
  <c r="I56" i="30"/>
  <c r="J56" i="30" s="1"/>
  <c r="G56" i="30"/>
  <c r="E56" i="30"/>
  <c r="D56" i="30"/>
  <c r="B56" i="30"/>
  <c r="U55" i="30"/>
  <c r="S55" i="30"/>
  <c r="R55" i="30"/>
  <c r="O55" i="30"/>
  <c r="M55" i="30"/>
  <c r="L55" i="30"/>
  <c r="V55" i="30" s="1"/>
  <c r="I55" i="30"/>
  <c r="G55" i="30"/>
  <c r="D55" i="30"/>
  <c r="E55" i="30" s="1"/>
  <c r="J55" i="30" s="1"/>
  <c r="B55" i="30"/>
  <c r="U54" i="30"/>
  <c r="S54" i="30"/>
  <c r="R54" i="30"/>
  <c r="O54" i="30"/>
  <c r="M54" i="30"/>
  <c r="L54" i="30"/>
  <c r="I54" i="30"/>
  <c r="G54" i="30"/>
  <c r="E54" i="30"/>
  <c r="D54" i="30"/>
  <c r="B54" i="30"/>
  <c r="U53" i="30"/>
  <c r="S53" i="30"/>
  <c r="R53" i="30"/>
  <c r="O53" i="30"/>
  <c r="M53" i="30"/>
  <c r="L53" i="30"/>
  <c r="V53" i="30" s="1"/>
  <c r="J53" i="30"/>
  <c r="I53" i="30"/>
  <c r="G53" i="30"/>
  <c r="D53" i="30"/>
  <c r="E53" i="30" s="1"/>
  <c r="B53" i="30"/>
  <c r="U52" i="30"/>
  <c r="S52" i="30"/>
  <c r="R52" i="30"/>
  <c r="O52" i="30"/>
  <c r="M52" i="30"/>
  <c r="L52" i="30"/>
  <c r="I52" i="30"/>
  <c r="G52" i="30"/>
  <c r="D52" i="30"/>
  <c r="E52" i="30" s="1"/>
  <c r="B52" i="30"/>
  <c r="U51" i="30"/>
  <c r="S51" i="30"/>
  <c r="R51" i="30"/>
  <c r="O51" i="30"/>
  <c r="M51" i="30"/>
  <c r="L51" i="30"/>
  <c r="I51" i="30"/>
  <c r="J51" i="30" s="1"/>
  <c r="G51" i="30"/>
  <c r="E51" i="30"/>
  <c r="D51" i="30"/>
  <c r="B51" i="30"/>
  <c r="U50" i="30"/>
  <c r="S50" i="30"/>
  <c r="R50" i="30"/>
  <c r="O50" i="30"/>
  <c r="M50" i="30"/>
  <c r="L50" i="30"/>
  <c r="I50" i="30"/>
  <c r="G50" i="30"/>
  <c r="D50" i="30"/>
  <c r="E50" i="30" s="1"/>
  <c r="B50" i="30"/>
  <c r="U49" i="30"/>
  <c r="S49" i="30"/>
  <c r="R49" i="30"/>
  <c r="O49" i="30"/>
  <c r="M49" i="30"/>
  <c r="L49" i="30"/>
  <c r="I49" i="30"/>
  <c r="G49" i="30"/>
  <c r="D49" i="30"/>
  <c r="E49" i="30" s="1"/>
  <c r="B49" i="30"/>
  <c r="U48" i="30"/>
  <c r="S48" i="30"/>
  <c r="R48" i="30"/>
  <c r="O48" i="30"/>
  <c r="M48" i="30"/>
  <c r="L48" i="30"/>
  <c r="V48" i="30" s="1"/>
  <c r="J48" i="30"/>
  <c r="I48" i="30"/>
  <c r="G48" i="30"/>
  <c r="E48" i="30"/>
  <c r="D48" i="30"/>
  <c r="B48" i="30"/>
  <c r="U47" i="30"/>
  <c r="S47" i="30"/>
  <c r="R47" i="30"/>
  <c r="O47" i="30"/>
  <c r="M47" i="30"/>
  <c r="L47" i="30"/>
  <c r="I47" i="30"/>
  <c r="G47" i="30"/>
  <c r="E47" i="30"/>
  <c r="D47" i="30"/>
  <c r="B47" i="30"/>
  <c r="U46" i="30"/>
  <c r="S46" i="30"/>
  <c r="R46" i="30"/>
  <c r="O46" i="30"/>
  <c r="M46" i="30"/>
  <c r="L46" i="30"/>
  <c r="V46" i="30" s="1"/>
  <c r="J46" i="30"/>
  <c r="I46" i="30"/>
  <c r="G46" i="30"/>
  <c r="E46" i="30"/>
  <c r="D46" i="30"/>
  <c r="B46" i="30"/>
  <c r="U45" i="30"/>
  <c r="S45" i="30"/>
  <c r="R45" i="30"/>
  <c r="O45" i="30"/>
  <c r="M45" i="30"/>
  <c r="L45" i="30"/>
  <c r="N45" i="30" s="1"/>
  <c r="I45" i="30"/>
  <c r="G45" i="30"/>
  <c r="D45" i="30"/>
  <c r="E45" i="30" s="1"/>
  <c r="J45" i="30" s="1"/>
  <c r="B45" i="30"/>
  <c r="U44" i="30"/>
  <c r="S44" i="30"/>
  <c r="R44" i="30"/>
  <c r="O44" i="30"/>
  <c r="M44" i="30"/>
  <c r="L44" i="30"/>
  <c r="V44" i="30" s="1"/>
  <c r="I44" i="30"/>
  <c r="J44" i="30" s="1"/>
  <c r="G44" i="30"/>
  <c r="D44" i="30"/>
  <c r="E44" i="30" s="1"/>
  <c r="B44" i="30"/>
  <c r="U43" i="30"/>
  <c r="S43" i="30"/>
  <c r="R43" i="30"/>
  <c r="O43" i="30"/>
  <c r="M43" i="30"/>
  <c r="L43" i="30"/>
  <c r="I43" i="30"/>
  <c r="G43" i="30"/>
  <c r="D43" i="30"/>
  <c r="E43" i="30" s="1"/>
  <c r="J43" i="30" s="1"/>
  <c r="B43" i="30"/>
  <c r="U42" i="30"/>
  <c r="S42" i="30"/>
  <c r="R42" i="30"/>
  <c r="O42" i="30"/>
  <c r="M42" i="30"/>
  <c r="L42" i="30"/>
  <c r="I42" i="30"/>
  <c r="G42" i="30"/>
  <c r="D42" i="30"/>
  <c r="E42" i="30" s="1"/>
  <c r="B42" i="30"/>
  <c r="U41" i="30"/>
  <c r="S41" i="30"/>
  <c r="R41" i="30"/>
  <c r="O41" i="30"/>
  <c r="M41" i="30"/>
  <c r="L41" i="30"/>
  <c r="I41" i="30"/>
  <c r="J41" i="30" s="1"/>
  <c r="G41" i="30"/>
  <c r="D41" i="30"/>
  <c r="E41" i="30" s="1"/>
  <c r="B41" i="30"/>
  <c r="U40" i="30"/>
  <c r="S40" i="30"/>
  <c r="R40" i="30"/>
  <c r="O40" i="30"/>
  <c r="M40" i="30"/>
  <c r="L40" i="30"/>
  <c r="I40" i="30"/>
  <c r="G40" i="30"/>
  <c r="D40" i="30"/>
  <c r="E40" i="30" s="1"/>
  <c r="B40" i="30"/>
  <c r="U39" i="30"/>
  <c r="S39" i="30"/>
  <c r="R39" i="30"/>
  <c r="O39" i="30"/>
  <c r="M39" i="30"/>
  <c r="L39" i="30"/>
  <c r="I39" i="30"/>
  <c r="J39" i="30" s="1"/>
  <c r="G39" i="30"/>
  <c r="E39" i="30"/>
  <c r="D39" i="30"/>
  <c r="B39" i="30"/>
  <c r="U38" i="30"/>
  <c r="S38" i="30"/>
  <c r="R38" i="30"/>
  <c r="O38" i="30"/>
  <c r="M38" i="30"/>
  <c r="L38" i="30"/>
  <c r="I38" i="30"/>
  <c r="J38" i="30" s="1"/>
  <c r="G38" i="30"/>
  <c r="D38" i="30"/>
  <c r="E38" i="30" s="1"/>
  <c r="B38" i="30"/>
  <c r="U37" i="30"/>
  <c r="S37" i="30"/>
  <c r="R37" i="30"/>
  <c r="O37" i="30"/>
  <c r="M37" i="30"/>
  <c r="L37" i="30"/>
  <c r="I37" i="30"/>
  <c r="J37" i="30" s="1"/>
  <c r="G37" i="30"/>
  <c r="D37" i="30"/>
  <c r="E37" i="30" s="1"/>
  <c r="B37" i="30"/>
  <c r="U36" i="30"/>
  <c r="S36" i="30"/>
  <c r="R36" i="30"/>
  <c r="O36" i="30"/>
  <c r="M36" i="30"/>
  <c r="L36" i="30"/>
  <c r="J36" i="30"/>
  <c r="I36" i="30"/>
  <c r="G36" i="30"/>
  <c r="E36" i="30"/>
  <c r="D36" i="30"/>
  <c r="B36" i="30"/>
  <c r="U35" i="30"/>
  <c r="S35" i="30"/>
  <c r="R35" i="30"/>
  <c r="O35" i="30"/>
  <c r="M35" i="30"/>
  <c r="L35" i="30"/>
  <c r="I35" i="30"/>
  <c r="G35" i="30"/>
  <c r="D35" i="30"/>
  <c r="E35" i="30" s="1"/>
  <c r="B35" i="30"/>
  <c r="U34" i="30"/>
  <c r="S34" i="30"/>
  <c r="R34" i="30"/>
  <c r="O34" i="30"/>
  <c r="M34" i="30"/>
  <c r="L34" i="30"/>
  <c r="I34" i="30"/>
  <c r="J34" i="30" s="1"/>
  <c r="G34" i="30"/>
  <c r="E34" i="30"/>
  <c r="D34" i="30"/>
  <c r="B34" i="30"/>
  <c r="U33" i="30"/>
  <c r="S33" i="30"/>
  <c r="R33" i="30"/>
  <c r="O33" i="30"/>
  <c r="M33" i="30"/>
  <c r="L33" i="30"/>
  <c r="I33" i="30"/>
  <c r="G33" i="30"/>
  <c r="D33" i="30"/>
  <c r="E33" i="30" s="1"/>
  <c r="J33" i="30" s="1"/>
  <c r="B33" i="30"/>
  <c r="U32" i="30"/>
  <c r="S32" i="30"/>
  <c r="R32" i="30"/>
  <c r="O32" i="30"/>
  <c r="M32" i="30"/>
  <c r="L32" i="30"/>
  <c r="I32" i="30"/>
  <c r="G32" i="30"/>
  <c r="D32" i="30"/>
  <c r="E32" i="30" s="1"/>
  <c r="J32" i="30" s="1"/>
  <c r="B32" i="30"/>
  <c r="U31" i="30"/>
  <c r="S31" i="30"/>
  <c r="R31" i="30"/>
  <c r="O31" i="30"/>
  <c r="M31" i="30"/>
  <c r="L31" i="30"/>
  <c r="V31" i="30" s="1"/>
  <c r="I31" i="30"/>
  <c r="G31" i="30"/>
  <c r="D31" i="30"/>
  <c r="E31" i="30" s="1"/>
  <c r="J31" i="30" s="1"/>
  <c r="B31" i="30"/>
  <c r="U30" i="30"/>
  <c r="S30" i="30"/>
  <c r="R30" i="30"/>
  <c r="O30" i="30"/>
  <c r="M30" i="30"/>
  <c r="L30" i="30"/>
  <c r="I30" i="30"/>
  <c r="G30" i="30"/>
  <c r="D30" i="30"/>
  <c r="E30" i="30" s="1"/>
  <c r="B30" i="30"/>
  <c r="U29" i="30"/>
  <c r="S29" i="30"/>
  <c r="R29" i="30"/>
  <c r="O29" i="30"/>
  <c r="M29" i="30"/>
  <c r="L29" i="30"/>
  <c r="I29" i="30"/>
  <c r="J29" i="30" s="1"/>
  <c r="N29" i="30" s="1"/>
  <c r="G29" i="30"/>
  <c r="D29" i="30"/>
  <c r="E29" i="30" s="1"/>
  <c r="B29" i="30"/>
  <c r="U28" i="30"/>
  <c r="S28" i="30"/>
  <c r="R28" i="30"/>
  <c r="O28" i="30"/>
  <c r="M28" i="30"/>
  <c r="L28" i="30"/>
  <c r="I28" i="30"/>
  <c r="G28" i="30"/>
  <c r="D28" i="30"/>
  <c r="E28" i="30" s="1"/>
  <c r="B28" i="30"/>
  <c r="U27" i="30"/>
  <c r="S27" i="30"/>
  <c r="R27" i="30"/>
  <c r="O27" i="30"/>
  <c r="M27" i="30"/>
  <c r="L27" i="30"/>
  <c r="I27" i="30"/>
  <c r="J27" i="30" s="1"/>
  <c r="G27" i="30"/>
  <c r="E27" i="30"/>
  <c r="D27" i="30"/>
  <c r="B27" i="30"/>
  <c r="U26" i="30"/>
  <c r="S26" i="30"/>
  <c r="R26" i="30"/>
  <c r="O26" i="30"/>
  <c r="M26" i="30"/>
  <c r="L26" i="30"/>
  <c r="I26" i="30"/>
  <c r="G26" i="30"/>
  <c r="D26" i="30"/>
  <c r="E26" i="30" s="1"/>
  <c r="B26" i="30"/>
  <c r="U25" i="30"/>
  <c r="S25" i="30"/>
  <c r="R25" i="30"/>
  <c r="O25" i="30"/>
  <c r="M25" i="30"/>
  <c r="L25" i="30"/>
  <c r="I25" i="30"/>
  <c r="J25" i="30" s="1"/>
  <c r="G25" i="30"/>
  <c r="E25" i="30"/>
  <c r="D25" i="30"/>
  <c r="B25" i="30"/>
  <c r="U24" i="30"/>
  <c r="S24" i="30"/>
  <c r="R24" i="30"/>
  <c r="O24" i="30"/>
  <c r="M24" i="30"/>
  <c r="L24" i="30"/>
  <c r="V24" i="30" s="1"/>
  <c r="J24" i="30"/>
  <c r="I24" i="30"/>
  <c r="G24" i="30"/>
  <c r="E24" i="30"/>
  <c r="D24" i="30"/>
  <c r="B24" i="30"/>
  <c r="U23" i="30"/>
  <c r="S23" i="30"/>
  <c r="R23" i="30"/>
  <c r="O23" i="30"/>
  <c r="M23" i="30"/>
  <c r="L23" i="30"/>
  <c r="I23" i="30"/>
  <c r="G23" i="30"/>
  <c r="D23" i="30"/>
  <c r="E23" i="30" s="1"/>
  <c r="B23" i="30"/>
  <c r="U22" i="30"/>
  <c r="S22" i="30"/>
  <c r="R22" i="30"/>
  <c r="O22" i="30"/>
  <c r="M22" i="30"/>
  <c r="L22" i="30"/>
  <c r="V22" i="30" s="1"/>
  <c r="I22" i="30"/>
  <c r="J22" i="30" s="1"/>
  <c r="G22" i="30"/>
  <c r="E22" i="30"/>
  <c r="D22" i="30"/>
  <c r="B22" i="30"/>
  <c r="U21" i="30"/>
  <c r="S21" i="30"/>
  <c r="R21" i="30"/>
  <c r="O21" i="30"/>
  <c r="M21" i="30"/>
  <c r="L21" i="30"/>
  <c r="I21" i="30"/>
  <c r="G21" i="30"/>
  <c r="D21" i="30"/>
  <c r="E21" i="30" s="1"/>
  <c r="J21" i="30" s="1"/>
  <c r="B21" i="30"/>
  <c r="U20" i="30"/>
  <c r="S20" i="30"/>
  <c r="R20" i="30"/>
  <c r="O20" i="30"/>
  <c r="M20" i="30"/>
  <c r="L20" i="30"/>
  <c r="I20" i="30"/>
  <c r="G20" i="30"/>
  <c r="D20" i="30"/>
  <c r="E20" i="30" s="1"/>
  <c r="B20" i="30"/>
  <c r="U19" i="30"/>
  <c r="S19" i="30"/>
  <c r="R19" i="30"/>
  <c r="O19" i="30"/>
  <c r="M19" i="30"/>
  <c r="L19" i="30"/>
  <c r="I19" i="30"/>
  <c r="G19" i="30"/>
  <c r="D19" i="30"/>
  <c r="E19" i="30" s="1"/>
  <c r="J19" i="30" s="1"/>
  <c r="B19" i="30"/>
  <c r="U18" i="30"/>
  <c r="S18" i="30"/>
  <c r="R18" i="30"/>
  <c r="O18" i="30"/>
  <c r="M18" i="30"/>
  <c r="L18" i="30"/>
  <c r="I18" i="30"/>
  <c r="G18" i="30"/>
  <c r="E18" i="30"/>
  <c r="D18" i="30"/>
  <c r="B18" i="30"/>
  <c r="U17" i="30"/>
  <c r="S17" i="30"/>
  <c r="R17" i="30"/>
  <c r="O17" i="30"/>
  <c r="M17" i="30"/>
  <c r="L17" i="30"/>
  <c r="V17" i="30" s="1"/>
  <c r="J17" i="30"/>
  <c r="I17" i="30"/>
  <c r="G17" i="30"/>
  <c r="D17" i="30"/>
  <c r="E17" i="30" s="1"/>
  <c r="B17" i="30"/>
  <c r="U16" i="30"/>
  <c r="S16" i="30"/>
  <c r="R16" i="30"/>
  <c r="O16" i="30"/>
  <c r="M16" i="30"/>
  <c r="L16" i="30"/>
  <c r="I16" i="30"/>
  <c r="G16" i="30"/>
  <c r="D16" i="30"/>
  <c r="E16" i="30" s="1"/>
  <c r="B16" i="30"/>
  <c r="U15" i="30"/>
  <c r="S15" i="30"/>
  <c r="R15" i="30"/>
  <c r="O15" i="30"/>
  <c r="M15" i="30"/>
  <c r="L15" i="30"/>
  <c r="I15" i="30"/>
  <c r="J15" i="30" s="1"/>
  <c r="G15" i="30"/>
  <c r="E15" i="30"/>
  <c r="D15" i="30"/>
  <c r="B15" i="30"/>
  <c r="U14" i="30"/>
  <c r="S14" i="30"/>
  <c r="R14" i="30"/>
  <c r="O14" i="30"/>
  <c r="M14" i="30"/>
  <c r="L14" i="30"/>
  <c r="I14" i="30"/>
  <c r="G14" i="30"/>
  <c r="D14" i="30"/>
  <c r="E14" i="30" s="1"/>
  <c r="B14" i="30"/>
  <c r="U13" i="30"/>
  <c r="S13" i="30"/>
  <c r="R13" i="30"/>
  <c r="O13" i="30"/>
  <c r="M13" i="30"/>
  <c r="L13" i="30"/>
  <c r="I13" i="30"/>
  <c r="J13" i="30" s="1"/>
  <c r="G13" i="30"/>
  <c r="D13" i="30"/>
  <c r="E13" i="30" s="1"/>
  <c r="B13" i="30"/>
  <c r="U12" i="30"/>
  <c r="S12" i="30"/>
  <c r="R12" i="30"/>
  <c r="O12" i="30"/>
  <c r="M12" i="30"/>
  <c r="L12" i="30"/>
  <c r="J12" i="30"/>
  <c r="I12" i="30"/>
  <c r="G12" i="30"/>
  <c r="E12" i="30"/>
  <c r="D12" i="30"/>
  <c r="B12" i="30"/>
  <c r="U11" i="30"/>
  <c r="S11" i="30"/>
  <c r="R11" i="30"/>
  <c r="O11" i="30"/>
  <c r="M11" i="30"/>
  <c r="L11" i="30"/>
  <c r="I11" i="30"/>
  <c r="G11" i="30"/>
  <c r="E11" i="30"/>
  <c r="D11" i="30"/>
  <c r="B11" i="30"/>
  <c r="U10" i="30"/>
  <c r="S10" i="30"/>
  <c r="R10" i="30"/>
  <c r="O10" i="30"/>
  <c r="M10" i="30"/>
  <c r="L10" i="30"/>
  <c r="J10" i="30"/>
  <c r="I10" i="30"/>
  <c r="G10" i="30"/>
  <c r="E10" i="30"/>
  <c r="D10" i="30"/>
  <c r="B10" i="30"/>
  <c r="U9" i="30"/>
  <c r="S9" i="30"/>
  <c r="R9" i="30"/>
  <c r="O9" i="30"/>
  <c r="M9" i="30"/>
  <c r="L9" i="30"/>
  <c r="N9" i="30" s="1"/>
  <c r="I9" i="30"/>
  <c r="G9" i="30"/>
  <c r="D9" i="30"/>
  <c r="E9" i="30" s="1"/>
  <c r="J9" i="30" s="1"/>
  <c r="B9" i="30"/>
  <c r="U8" i="30"/>
  <c r="S8" i="30"/>
  <c r="R8" i="30"/>
  <c r="O8" i="30"/>
  <c r="M8" i="30"/>
  <c r="L8" i="30"/>
  <c r="V8" i="30" s="1"/>
  <c r="I8" i="30"/>
  <c r="G8" i="30"/>
  <c r="D8" i="30"/>
  <c r="E8" i="30" s="1"/>
  <c r="B8" i="30"/>
  <c r="U7" i="30"/>
  <c r="S7" i="30"/>
  <c r="R7" i="30"/>
  <c r="O7" i="30"/>
  <c r="M7" i="30"/>
  <c r="L7" i="30"/>
  <c r="V7" i="30" s="1"/>
  <c r="I7" i="30"/>
  <c r="G7" i="30"/>
  <c r="D7" i="30"/>
  <c r="E7" i="30" s="1"/>
  <c r="J7" i="30" s="1"/>
  <c r="B7" i="30"/>
  <c r="U6" i="30"/>
  <c r="V6" i="30" s="1"/>
  <c r="S6" i="30"/>
  <c r="R6" i="30"/>
  <c r="O6" i="30"/>
  <c r="M6" i="30"/>
  <c r="L6" i="30"/>
  <c r="I6" i="30"/>
  <c r="G6" i="30"/>
  <c r="D6" i="30"/>
  <c r="E6" i="30" s="1"/>
  <c r="B6" i="30"/>
  <c r="U5" i="30"/>
  <c r="S5" i="30"/>
  <c r="R5" i="30"/>
  <c r="O5" i="30"/>
  <c r="M5" i="30"/>
  <c r="L5" i="30"/>
  <c r="V5" i="30" s="1"/>
  <c r="I5" i="30"/>
  <c r="J5" i="30" s="1"/>
  <c r="G5" i="30"/>
  <c r="D5" i="30"/>
  <c r="E5" i="30" s="1"/>
  <c r="B5" i="30"/>
  <c r="U4" i="30"/>
  <c r="S4" i="30"/>
  <c r="R4" i="30"/>
  <c r="O4" i="30"/>
  <c r="M4" i="30"/>
  <c r="L4" i="30"/>
  <c r="I4" i="30"/>
  <c r="G4" i="30"/>
  <c r="D4" i="30"/>
  <c r="E4" i="30" s="1"/>
  <c r="B4" i="30"/>
  <c r="U3" i="30"/>
  <c r="S3" i="30"/>
  <c r="R3" i="30"/>
  <c r="O3" i="30"/>
  <c r="M3" i="30"/>
  <c r="L3" i="30"/>
  <c r="J3" i="30"/>
  <c r="I3" i="30"/>
  <c r="G3" i="30"/>
  <c r="E3" i="30"/>
  <c r="D3" i="30"/>
  <c r="B3" i="30"/>
  <c r="U2" i="30"/>
  <c r="S2" i="30"/>
  <c r="R2" i="30"/>
  <c r="O2" i="30"/>
  <c r="M2" i="30"/>
  <c r="L2" i="30"/>
  <c r="I2" i="30"/>
  <c r="G2" i="30"/>
  <c r="D2" i="30"/>
  <c r="E2" i="30" s="1"/>
  <c r="B2" i="30"/>
  <c r="U82" i="28"/>
  <c r="S82" i="28"/>
  <c r="R82" i="28"/>
  <c r="O82" i="28"/>
  <c r="M82" i="28"/>
  <c r="L82" i="28"/>
  <c r="I82" i="28"/>
  <c r="G82" i="28"/>
  <c r="D82" i="28"/>
  <c r="E82" i="28" s="1"/>
  <c r="B82" i="28"/>
  <c r="U81" i="28"/>
  <c r="S81" i="28"/>
  <c r="R81" i="28"/>
  <c r="O81" i="28"/>
  <c r="M81" i="28"/>
  <c r="L81" i="28"/>
  <c r="I81" i="28"/>
  <c r="G81" i="28"/>
  <c r="D81" i="28"/>
  <c r="E81" i="28" s="1"/>
  <c r="B81" i="28"/>
  <c r="U80" i="28"/>
  <c r="V80" i="28" s="1"/>
  <c r="S80" i="28"/>
  <c r="R80" i="28"/>
  <c r="O80" i="28"/>
  <c r="M80" i="28"/>
  <c r="L80" i="28"/>
  <c r="I80" i="28"/>
  <c r="G80" i="28"/>
  <c r="D80" i="28"/>
  <c r="E80" i="28" s="1"/>
  <c r="B80" i="28"/>
  <c r="U79" i="28"/>
  <c r="S79" i="28"/>
  <c r="R79" i="28"/>
  <c r="O79" i="28"/>
  <c r="M79" i="28"/>
  <c r="L79" i="28"/>
  <c r="I79" i="28"/>
  <c r="G79" i="28"/>
  <c r="D79" i="28"/>
  <c r="E79" i="28" s="1"/>
  <c r="B79" i="28"/>
  <c r="U78" i="28"/>
  <c r="S78" i="28"/>
  <c r="R78" i="28"/>
  <c r="O78" i="28"/>
  <c r="M78" i="28"/>
  <c r="L78" i="28"/>
  <c r="I78" i="28"/>
  <c r="G78" i="28"/>
  <c r="D78" i="28"/>
  <c r="E78" i="28" s="1"/>
  <c r="B78" i="28"/>
  <c r="U77" i="28"/>
  <c r="S77" i="28"/>
  <c r="R77" i="28"/>
  <c r="O77" i="28"/>
  <c r="M77" i="28"/>
  <c r="L77" i="28"/>
  <c r="I77" i="28"/>
  <c r="G77" i="28"/>
  <c r="D77" i="28"/>
  <c r="E77" i="28" s="1"/>
  <c r="B77" i="28"/>
  <c r="U76" i="28"/>
  <c r="S76" i="28"/>
  <c r="R76" i="28"/>
  <c r="O76" i="28"/>
  <c r="M76" i="28"/>
  <c r="L76" i="28"/>
  <c r="I76" i="28"/>
  <c r="G76" i="28"/>
  <c r="D76" i="28"/>
  <c r="E76" i="28" s="1"/>
  <c r="B76" i="28"/>
  <c r="U75" i="28"/>
  <c r="V75" i="28" s="1"/>
  <c r="S75" i="28"/>
  <c r="R75" i="28"/>
  <c r="O75" i="28"/>
  <c r="M75" i="28"/>
  <c r="L75" i="28"/>
  <c r="I75" i="28"/>
  <c r="G75" i="28"/>
  <c r="D75" i="28"/>
  <c r="E75" i="28" s="1"/>
  <c r="B75" i="28"/>
  <c r="U74" i="28"/>
  <c r="S74" i="28"/>
  <c r="R74" i="28"/>
  <c r="O74" i="28"/>
  <c r="M74" i="28"/>
  <c r="L74" i="28"/>
  <c r="I74" i="28"/>
  <c r="G74" i="28"/>
  <c r="D74" i="28"/>
  <c r="E74" i="28" s="1"/>
  <c r="B74" i="28"/>
  <c r="U73" i="28"/>
  <c r="V73" i="28" s="1"/>
  <c r="S73" i="28"/>
  <c r="R73" i="28"/>
  <c r="O73" i="28"/>
  <c r="M73" i="28"/>
  <c r="L73" i="28"/>
  <c r="I73" i="28"/>
  <c r="G73" i="28"/>
  <c r="D73" i="28"/>
  <c r="E73" i="28" s="1"/>
  <c r="B73" i="28"/>
  <c r="U72" i="28"/>
  <c r="S72" i="28"/>
  <c r="R72" i="28"/>
  <c r="O72" i="28"/>
  <c r="M72" i="28"/>
  <c r="L72" i="28"/>
  <c r="I72" i="28"/>
  <c r="J72" i="28" s="1"/>
  <c r="G72" i="28"/>
  <c r="D72" i="28"/>
  <c r="E72" i="28" s="1"/>
  <c r="B72" i="28"/>
  <c r="U71" i="28"/>
  <c r="S71" i="28"/>
  <c r="R71" i="28"/>
  <c r="O71" i="28"/>
  <c r="M71" i="28"/>
  <c r="L71" i="28"/>
  <c r="I71" i="28"/>
  <c r="J71" i="28" s="1"/>
  <c r="G71" i="28"/>
  <c r="D71" i="28"/>
  <c r="E71" i="28" s="1"/>
  <c r="B71" i="28"/>
  <c r="U70" i="28"/>
  <c r="S70" i="28"/>
  <c r="R70" i="28"/>
  <c r="O70" i="28"/>
  <c r="M70" i="28"/>
  <c r="L70" i="28"/>
  <c r="I70" i="28"/>
  <c r="G70" i="28"/>
  <c r="D70" i="28"/>
  <c r="E70" i="28" s="1"/>
  <c r="B70" i="28"/>
  <c r="U69" i="28"/>
  <c r="S69" i="28"/>
  <c r="R69" i="28"/>
  <c r="O69" i="28"/>
  <c r="M69" i="28"/>
  <c r="L69" i="28"/>
  <c r="I69" i="28"/>
  <c r="G69" i="28"/>
  <c r="D69" i="28"/>
  <c r="E69" i="28" s="1"/>
  <c r="B69" i="28"/>
  <c r="U68" i="28"/>
  <c r="S68" i="28"/>
  <c r="R68" i="28"/>
  <c r="O68" i="28"/>
  <c r="M68" i="28"/>
  <c r="L68" i="28"/>
  <c r="I68" i="28"/>
  <c r="G68" i="28"/>
  <c r="D68" i="28"/>
  <c r="E68" i="28" s="1"/>
  <c r="B68" i="28"/>
  <c r="U67" i="28"/>
  <c r="S67" i="28"/>
  <c r="R67" i="28"/>
  <c r="O67" i="28"/>
  <c r="M67" i="28"/>
  <c r="L67" i="28"/>
  <c r="I67" i="28"/>
  <c r="G67" i="28"/>
  <c r="D67" i="28"/>
  <c r="E67" i="28" s="1"/>
  <c r="B67" i="28"/>
  <c r="U66" i="28"/>
  <c r="V66" i="28" s="1"/>
  <c r="S66" i="28"/>
  <c r="R66" i="28"/>
  <c r="O66" i="28"/>
  <c r="M66" i="28"/>
  <c r="L66" i="28"/>
  <c r="I66" i="28"/>
  <c r="G66" i="28"/>
  <c r="D66" i="28"/>
  <c r="E66" i="28" s="1"/>
  <c r="B66" i="28"/>
  <c r="U65" i="28"/>
  <c r="S65" i="28"/>
  <c r="R65" i="28"/>
  <c r="O65" i="28"/>
  <c r="M65" i="28"/>
  <c r="L65" i="28"/>
  <c r="I65" i="28"/>
  <c r="G65" i="28"/>
  <c r="D65" i="28"/>
  <c r="E65" i="28" s="1"/>
  <c r="B65" i="28"/>
  <c r="U64" i="28"/>
  <c r="S64" i="28"/>
  <c r="R64" i="28"/>
  <c r="O64" i="28"/>
  <c r="M64" i="28"/>
  <c r="L64" i="28"/>
  <c r="I64" i="28"/>
  <c r="J64" i="28" s="1"/>
  <c r="G64" i="28"/>
  <c r="D64" i="28"/>
  <c r="E64" i="28" s="1"/>
  <c r="B64" i="28"/>
  <c r="U63" i="28"/>
  <c r="S63" i="28"/>
  <c r="R63" i="28"/>
  <c r="O63" i="28"/>
  <c r="M63" i="28"/>
  <c r="L63" i="28"/>
  <c r="J63" i="28"/>
  <c r="I63" i="28"/>
  <c r="G63" i="28"/>
  <c r="D63" i="28"/>
  <c r="E63" i="28" s="1"/>
  <c r="B63" i="28"/>
  <c r="U62" i="28"/>
  <c r="S62" i="28"/>
  <c r="R62" i="28"/>
  <c r="O62" i="28"/>
  <c r="M62" i="28"/>
  <c r="L62" i="28"/>
  <c r="I62" i="28"/>
  <c r="G62" i="28"/>
  <c r="D62" i="28"/>
  <c r="E62" i="28" s="1"/>
  <c r="B62" i="28"/>
  <c r="U61" i="28"/>
  <c r="S61" i="28"/>
  <c r="R61" i="28"/>
  <c r="O61" i="28"/>
  <c r="M61" i="28"/>
  <c r="L61" i="28"/>
  <c r="I61" i="28"/>
  <c r="G61" i="28"/>
  <c r="D61" i="28"/>
  <c r="E61" i="28" s="1"/>
  <c r="B61" i="28"/>
  <c r="U60" i="28"/>
  <c r="S60" i="28"/>
  <c r="R60" i="28"/>
  <c r="O60" i="28"/>
  <c r="M60" i="28"/>
  <c r="L60" i="28"/>
  <c r="I60" i="28"/>
  <c r="G60" i="28"/>
  <c r="D60" i="28"/>
  <c r="E60" i="28" s="1"/>
  <c r="J60" i="28" s="1"/>
  <c r="B60" i="28"/>
  <c r="U59" i="28"/>
  <c r="S59" i="28"/>
  <c r="R59" i="28"/>
  <c r="O59" i="28"/>
  <c r="M59" i="28"/>
  <c r="L59" i="28"/>
  <c r="I59" i="28"/>
  <c r="G59" i="28"/>
  <c r="D59" i="28"/>
  <c r="E59" i="28" s="1"/>
  <c r="J59" i="28" s="1"/>
  <c r="N59" i="28" s="1"/>
  <c r="B59" i="28"/>
  <c r="U58" i="28"/>
  <c r="V58" i="28" s="1"/>
  <c r="S58" i="28"/>
  <c r="R58" i="28"/>
  <c r="O58" i="28"/>
  <c r="M58" i="28"/>
  <c r="L58" i="28"/>
  <c r="I58" i="28"/>
  <c r="G58" i="28"/>
  <c r="D58" i="28"/>
  <c r="E58" i="28" s="1"/>
  <c r="B58" i="28"/>
  <c r="U57" i="28"/>
  <c r="S57" i="28"/>
  <c r="R57" i="28"/>
  <c r="O57" i="28"/>
  <c r="M57" i="28"/>
  <c r="L57" i="28"/>
  <c r="I57" i="28"/>
  <c r="G57" i="28"/>
  <c r="D57" i="28"/>
  <c r="E57" i="28" s="1"/>
  <c r="B57" i="28"/>
  <c r="U56" i="28"/>
  <c r="S56" i="28"/>
  <c r="R56" i="28"/>
  <c r="O56" i="28"/>
  <c r="M56" i="28"/>
  <c r="L56" i="28"/>
  <c r="I56" i="28"/>
  <c r="J56" i="28" s="1"/>
  <c r="N56" i="28" s="1"/>
  <c r="G56" i="28"/>
  <c r="D56" i="28"/>
  <c r="E56" i="28" s="1"/>
  <c r="B56" i="28"/>
  <c r="U55" i="28"/>
  <c r="S55" i="28"/>
  <c r="R55" i="28"/>
  <c r="O55" i="28"/>
  <c r="M55" i="28"/>
  <c r="L55" i="28"/>
  <c r="I55" i="28"/>
  <c r="G55" i="28"/>
  <c r="D55" i="28"/>
  <c r="E55" i="28" s="1"/>
  <c r="B55" i="28"/>
  <c r="U54" i="28"/>
  <c r="S54" i="28"/>
  <c r="R54" i="28"/>
  <c r="O54" i="28"/>
  <c r="M54" i="28"/>
  <c r="L54" i="28"/>
  <c r="I54" i="28"/>
  <c r="G54" i="28"/>
  <c r="D54" i="28"/>
  <c r="E54" i="28" s="1"/>
  <c r="B54" i="28"/>
  <c r="U53" i="28"/>
  <c r="S53" i="28"/>
  <c r="R53" i="28"/>
  <c r="O53" i="28"/>
  <c r="M53" i="28"/>
  <c r="L53" i="28"/>
  <c r="I53" i="28"/>
  <c r="G53" i="28"/>
  <c r="D53" i="28"/>
  <c r="E53" i="28" s="1"/>
  <c r="B53" i="28"/>
  <c r="U52" i="28"/>
  <c r="S52" i="28"/>
  <c r="R52" i="28"/>
  <c r="O52" i="28"/>
  <c r="M52" i="28"/>
  <c r="L52" i="28"/>
  <c r="I52" i="28"/>
  <c r="J52" i="28" s="1"/>
  <c r="G52" i="28"/>
  <c r="D52" i="28"/>
  <c r="E52" i="28" s="1"/>
  <c r="B52" i="28"/>
  <c r="U51" i="28"/>
  <c r="S51" i="28"/>
  <c r="R51" i="28"/>
  <c r="O51" i="28"/>
  <c r="M51" i="28"/>
  <c r="L51" i="28"/>
  <c r="I51" i="28"/>
  <c r="G51" i="28"/>
  <c r="D51" i="28"/>
  <c r="E51" i="28" s="1"/>
  <c r="B51" i="28"/>
  <c r="U50" i="28"/>
  <c r="S50" i="28"/>
  <c r="R50" i="28"/>
  <c r="O50" i="28"/>
  <c r="M50" i="28"/>
  <c r="L50" i="28"/>
  <c r="I50" i="28"/>
  <c r="G50" i="28"/>
  <c r="D50" i="28"/>
  <c r="E50" i="28" s="1"/>
  <c r="B50" i="28"/>
  <c r="U49" i="28"/>
  <c r="S49" i="28"/>
  <c r="R49" i="28"/>
  <c r="O49" i="28"/>
  <c r="M49" i="28"/>
  <c r="L49" i="28"/>
  <c r="I49" i="28"/>
  <c r="G49" i="28"/>
  <c r="D49" i="28"/>
  <c r="E49" i="28" s="1"/>
  <c r="B49" i="28"/>
  <c r="U48" i="28"/>
  <c r="S48" i="28"/>
  <c r="R48" i="28"/>
  <c r="O48" i="28"/>
  <c r="M48" i="28"/>
  <c r="L48" i="28"/>
  <c r="I48" i="28"/>
  <c r="G48" i="28"/>
  <c r="E48" i="28"/>
  <c r="D48" i="28"/>
  <c r="B48" i="28"/>
  <c r="U47" i="28"/>
  <c r="S47" i="28"/>
  <c r="R47" i="28"/>
  <c r="O47" i="28"/>
  <c r="M47" i="28"/>
  <c r="L47" i="28"/>
  <c r="I47" i="28"/>
  <c r="J47" i="28" s="1"/>
  <c r="G47" i="28"/>
  <c r="D47" i="28"/>
  <c r="E47" i="28" s="1"/>
  <c r="B47" i="28"/>
  <c r="U46" i="28"/>
  <c r="S46" i="28"/>
  <c r="R46" i="28"/>
  <c r="O46" i="28"/>
  <c r="M46" i="28"/>
  <c r="L46" i="28"/>
  <c r="I46" i="28"/>
  <c r="G46" i="28"/>
  <c r="D46" i="28"/>
  <c r="E46" i="28" s="1"/>
  <c r="J46" i="28" s="1"/>
  <c r="B46" i="28"/>
  <c r="U45" i="28"/>
  <c r="S45" i="28"/>
  <c r="R45" i="28"/>
  <c r="O45" i="28"/>
  <c r="M45" i="28"/>
  <c r="L45" i="28"/>
  <c r="I45" i="28"/>
  <c r="G45" i="28"/>
  <c r="D45" i="28"/>
  <c r="E45" i="28" s="1"/>
  <c r="B45" i="28"/>
  <c r="U44" i="28"/>
  <c r="S44" i="28"/>
  <c r="R44" i="28"/>
  <c r="O44" i="28"/>
  <c r="M44" i="28"/>
  <c r="L44" i="28"/>
  <c r="I44" i="28"/>
  <c r="G44" i="28"/>
  <c r="D44" i="28"/>
  <c r="E44" i="28" s="1"/>
  <c r="B44" i="28"/>
  <c r="U43" i="28"/>
  <c r="S43" i="28"/>
  <c r="R43" i="28"/>
  <c r="O43" i="28"/>
  <c r="M43" i="28"/>
  <c r="L43" i="28"/>
  <c r="I43" i="28"/>
  <c r="G43" i="28"/>
  <c r="D43" i="28"/>
  <c r="E43" i="28" s="1"/>
  <c r="B43" i="28"/>
  <c r="U42" i="28"/>
  <c r="S42" i="28"/>
  <c r="R42" i="28"/>
  <c r="O42" i="28"/>
  <c r="M42" i="28"/>
  <c r="L42" i="28"/>
  <c r="I42" i="28"/>
  <c r="G42" i="28"/>
  <c r="D42" i="28"/>
  <c r="E42" i="28" s="1"/>
  <c r="J42" i="28" s="1"/>
  <c r="B42" i="28"/>
  <c r="U41" i="28"/>
  <c r="S41" i="28"/>
  <c r="R41" i="28"/>
  <c r="O41" i="28"/>
  <c r="M41" i="28"/>
  <c r="L41" i="28"/>
  <c r="V41" i="28" s="1"/>
  <c r="I41" i="28"/>
  <c r="G41" i="28"/>
  <c r="D41" i="28"/>
  <c r="E41" i="28" s="1"/>
  <c r="B41" i="28"/>
  <c r="U40" i="28"/>
  <c r="S40" i="28"/>
  <c r="R40" i="28"/>
  <c r="O40" i="28"/>
  <c r="M40" i="28"/>
  <c r="L40" i="28"/>
  <c r="I40" i="28"/>
  <c r="G40" i="28"/>
  <c r="D40" i="28"/>
  <c r="E40" i="28" s="1"/>
  <c r="B40" i="28"/>
  <c r="U39" i="28"/>
  <c r="S39" i="28"/>
  <c r="R39" i="28"/>
  <c r="O39" i="28"/>
  <c r="M39" i="28"/>
  <c r="L39" i="28"/>
  <c r="I39" i="28"/>
  <c r="G39" i="28"/>
  <c r="D39" i="28"/>
  <c r="E39" i="28" s="1"/>
  <c r="B39" i="28"/>
  <c r="U38" i="28"/>
  <c r="S38" i="28"/>
  <c r="R38" i="28"/>
  <c r="O38" i="28"/>
  <c r="M38" i="28"/>
  <c r="L38" i="28"/>
  <c r="I38" i="28"/>
  <c r="G38" i="28"/>
  <c r="D38" i="28"/>
  <c r="E38" i="28" s="1"/>
  <c r="B38" i="28"/>
  <c r="U37" i="28"/>
  <c r="S37" i="28"/>
  <c r="R37" i="28"/>
  <c r="O37" i="28"/>
  <c r="M37" i="28"/>
  <c r="L37" i="28"/>
  <c r="I37" i="28"/>
  <c r="G37" i="28"/>
  <c r="D37" i="28"/>
  <c r="E37" i="28" s="1"/>
  <c r="B37" i="28"/>
  <c r="U36" i="28"/>
  <c r="S36" i="28"/>
  <c r="R36" i="28"/>
  <c r="O36" i="28"/>
  <c r="M36" i="28"/>
  <c r="L36" i="28"/>
  <c r="I36" i="28"/>
  <c r="G36" i="28"/>
  <c r="D36" i="28"/>
  <c r="E36" i="28" s="1"/>
  <c r="B36" i="28"/>
  <c r="U35" i="28"/>
  <c r="S35" i="28"/>
  <c r="R35" i="28"/>
  <c r="O35" i="28"/>
  <c r="M35" i="28"/>
  <c r="L35" i="28"/>
  <c r="V35" i="28" s="1"/>
  <c r="I35" i="28"/>
  <c r="G35" i="28"/>
  <c r="D35" i="28"/>
  <c r="E35" i="28" s="1"/>
  <c r="B35" i="28"/>
  <c r="U34" i="28"/>
  <c r="S34" i="28"/>
  <c r="R34" i="28"/>
  <c r="O34" i="28"/>
  <c r="M34" i="28"/>
  <c r="L34" i="28"/>
  <c r="I34" i="28"/>
  <c r="G34" i="28"/>
  <c r="D34" i="28"/>
  <c r="E34" i="28" s="1"/>
  <c r="B34" i="28"/>
  <c r="U33" i="28"/>
  <c r="S33" i="28"/>
  <c r="R33" i="28"/>
  <c r="O33" i="28"/>
  <c r="M33" i="28"/>
  <c r="L33" i="28"/>
  <c r="V33" i="28" s="1"/>
  <c r="I33" i="28"/>
  <c r="G33" i="28"/>
  <c r="D33" i="28"/>
  <c r="E33" i="28" s="1"/>
  <c r="B33" i="28"/>
  <c r="U32" i="28"/>
  <c r="S32" i="28"/>
  <c r="R32" i="28"/>
  <c r="O32" i="28"/>
  <c r="M32" i="28"/>
  <c r="L32" i="28"/>
  <c r="I32" i="28"/>
  <c r="G32" i="28"/>
  <c r="D32" i="28"/>
  <c r="E32" i="28" s="1"/>
  <c r="B32" i="28"/>
  <c r="U31" i="28"/>
  <c r="S31" i="28"/>
  <c r="R31" i="28"/>
  <c r="O31" i="28"/>
  <c r="M31" i="28"/>
  <c r="L31" i="28"/>
  <c r="I31" i="28"/>
  <c r="G31" i="28"/>
  <c r="D31" i="28"/>
  <c r="E31" i="28" s="1"/>
  <c r="B31" i="28"/>
  <c r="U30" i="28"/>
  <c r="S30" i="28"/>
  <c r="R30" i="28"/>
  <c r="O30" i="28"/>
  <c r="M30" i="28"/>
  <c r="L30" i="28"/>
  <c r="I30" i="28"/>
  <c r="G30" i="28"/>
  <c r="D30" i="28"/>
  <c r="E30" i="28" s="1"/>
  <c r="J30" i="28" s="1"/>
  <c r="B30" i="28"/>
  <c r="U29" i="28"/>
  <c r="S29" i="28"/>
  <c r="R29" i="28"/>
  <c r="O29" i="28"/>
  <c r="M29" i="28"/>
  <c r="L29" i="28"/>
  <c r="I29" i="28"/>
  <c r="G29" i="28"/>
  <c r="D29" i="28"/>
  <c r="E29" i="28" s="1"/>
  <c r="B29" i="28"/>
  <c r="U28" i="28"/>
  <c r="S28" i="28"/>
  <c r="R28" i="28"/>
  <c r="O28" i="28"/>
  <c r="M28" i="28"/>
  <c r="L28" i="28"/>
  <c r="I28" i="28"/>
  <c r="G28" i="28"/>
  <c r="D28" i="28"/>
  <c r="E28" i="28" s="1"/>
  <c r="B28" i="28"/>
  <c r="U27" i="28"/>
  <c r="S27" i="28"/>
  <c r="R27" i="28"/>
  <c r="O27" i="28"/>
  <c r="M27" i="28"/>
  <c r="L27" i="28"/>
  <c r="I27" i="28"/>
  <c r="G27" i="28"/>
  <c r="D27" i="28"/>
  <c r="E27" i="28" s="1"/>
  <c r="B27" i="28"/>
  <c r="U26" i="28"/>
  <c r="S26" i="28"/>
  <c r="R26" i="28"/>
  <c r="O26" i="28"/>
  <c r="M26" i="28"/>
  <c r="L26" i="28"/>
  <c r="I26" i="28"/>
  <c r="G26" i="28"/>
  <c r="D26" i="28"/>
  <c r="E26" i="28" s="1"/>
  <c r="B26" i="28"/>
  <c r="U25" i="28"/>
  <c r="S25" i="28"/>
  <c r="R25" i="28"/>
  <c r="O25" i="28"/>
  <c r="M25" i="28"/>
  <c r="L25" i="28"/>
  <c r="I25" i="28"/>
  <c r="G25" i="28"/>
  <c r="D25" i="28"/>
  <c r="E25" i="28" s="1"/>
  <c r="B25" i="28"/>
  <c r="U24" i="28"/>
  <c r="S24" i="28"/>
  <c r="R24" i="28"/>
  <c r="O24" i="28"/>
  <c r="M24" i="28"/>
  <c r="L24" i="28"/>
  <c r="I24" i="28"/>
  <c r="J24" i="28" s="1"/>
  <c r="G24" i="28"/>
  <c r="D24" i="28"/>
  <c r="E24" i="28" s="1"/>
  <c r="B24" i="28"/>
  <c r="U23" i="28"/>
  <c r="S23" i="28"/>
  <c r="R23" i="28"/>
  <c r="O23" i="28"/>
  <c r="M23" i="28"/>
  <c r="L23" i="28"/>
  <c r="I23" i="28"/>
  <c r="J23" i="28" s="1"/>
  <c r="G23" i="28"/>
  <c r="D23" i="28"/>
  <c r="E23" i="28" s="1"/>
  <c r="B23" i="28"/>
  <c r="U22" i="28"/>
  <c r="S22" i="28"/>
  <c r="R22" i="28"/>
  <c r="O22" i="28"/>
  <c r="M22" i="28"/>
  <c r="L22" i="28"/>
  <c r="I22" i="28"/>
  <c r="G22" i="28"/>
  <c r="D22" i="28"/>
  <c r="E22" i="28" s="1"/>
  <c r="B22" i="28"/>
  <c r="U21" i="28"/>
  <c r="S21" i="28"/>
  <c r="R21" i="28"/>
  <c r="O21" i="28"/>
  <c r="M21" i="28"/>
  <c r="L21" i="28"/>
  <c r="I21" i="28"/>
  <c r="G21" i="28"/>
  <c r="D21" i="28"/>
  <c r="E21" i="28" s="1"/>
  <c r="B21" i="28"/>
  <c r="U20" i="28"/>
  <c r="S20" i="28"/>
  <c r="R20" i="28"/>
  <c r="O20" i="28"/>
  <c r="M20" i="28"/>
  <c r="L20" i="28"/>
  <c r="I20" i="28"/>
  <c r="G20" i="28"/>
  <c r="D20" i="28"/>
  <c r="E20" i="28" s="1"/>
  <c r="B20" i="28"/>
  <c r="U19" i="28"/>
  <c r="S19" i="28"/>
  <c r="R19" i="28"/>
  <c r="O19" i="28"/>
  <c r="M19" i="28"/>
  <c r="L19" i="28"/>
  <c r="I19" i="28"/>
  <c r="G19" i="28"/>
  <c r="D19" i="28"/>
  <c r="E19" i="28" s="1"/>
  <c r="B19" i="28"/>
  <c r="U18" i="28"/>
  <c r="S18" i="28"/>
  <c r="R18" i="28"/>
  <c r="O18" i="28"/>
  <c r="M18" i="28"/>
  <c r="L18" i="28"/>
  <c r="I18" i="28"/>
  <c r="G18" i="28"/>
  <c r="D18" i="28"/>
  <c r="E18" i="28" s="1"/>
  <c r="B18" i="28"/>
  <c r="U17" i="28"/>
  <c r="S17" i="28"/>
  <c r="R17" i="28"/>
  <c r="O17" i="28"/>
  <c r="M17" i="28"/>
  <c r="L17" i="28"/>
  <c r="I17" i="28"/>
  <c r="G17" i="28"/>
  <c r="D17" i="28"/>
  <c r="E17" i="28" s="1"/>
  <c r="J17" i="28" s="1"/>
  <c r="B17" i="28"/>
  <c r="U16" i="28"/>
  <c r="S16" i="28"/>
  <c r="R16" i="28"/>
  <c r="O16" i="28"/>
  <c r="M16" i="28"/>
  <c r="L16" i="28"/>
  <c r="I16" i="28"/>
  <c r="J16" i="28" s="1"/>
  <c r="G16" i="28"/>
  <c r="D16" i="28"/>
  <c r="E16" i="28" s="1"/>
  <c r="B16" i="28"/>
  <c r="U15" i="28"/>
  <c r="S15" i="28"/>
  <c r="R15" i="28"/>
  <c r="O15" i="28"/>
  <c r="M15" i="28"/>
  <c r="L15" i="28"/>
  <c r="I15" i="28"/>
  <c r="G15" i="28"/>
  <c r="D15" i="28"/>
  <c r="E15" i="28" s="1"/>
  <c r="B15" i="28"/>
  <c r="U14" i="28"/>
  <c r="S14" i="28"/>
  <c r="R14" i="28"/>
  <c r="O14" i="28"/>
  <c r="M14" i="28"/>
  <c r="L14" i="28"/>
  <c r="I14" i="28"/>
  <c r="G14" i="28"/>
  <c r="D14" i="28"/>
  <c r="E14" i="28" s="1"/>
  <c r="B14" i="28"/>
  <c r="U13" i="28"/>
  <c r="S13" i="28"/>
  <c r="R13" i="28"/>
  <c r="O13" i="28"/>
  <c r="M13" i="28"/>
  <c r="L13" i="28"/>
  <c r="I13" i="28"/>
  <c r="G13" i="28"/>
  <c r="D13" i="28"/>
  <c r="E13" i="28" s="1"/>
  <c r="B13" i="28"/>
  <c r="U12" i="28"/>
  <c r="S12" i="28"/>
  <c r="R12" i="28"/>
  <c r="O12" i="28"/>
  <c r="M12" i="28"/>
  <c r="L12" i="28"/>
  <c r="I12" i="28"/>
  <c r="G12" i="28"/>
  <c r="D12" i="28"/>
  <c r="E12" i="28" s="1"/>
  <c r="B12" i="28"/>
  <c r="U11" i="28"/>
  <c r="S11" i="28"/>
  <c r="R11" i="28"/>
  <c r="O11" i="28"/>
  <c r="M11" i="28"/>
  <c r="L11" i="28"/>
  <c r="I11" i="28"/>
  <c r="G11" i="28"/>
  <c r="D11" i="28"/>
  <c r="E11" i="28" s="1"/>
  <c r="J11" i="28" s="1"/>
  <c r="N11" i="28" s="1"/>
  <c r="B11" i="28"/>
  <c r="U10" i="28"/>
  <c r="S10" i="28"/>
  <c r="R10" i="28"/>
  <c r="O10" i="28"/>
  <c r="M10" i="28"/>
  <c r="L10" i="28"/>
  <c r="I10" i="28"/>
  <c r="G10" i="28"/>
  <c r="D10" i="28"/>
  <c r="E10" i="28" s="1"/>
  <c r="B10" i="28"/>
  <c r="U9" i="28"/>
  <c r="S9" i="28"/>
  <c r="R9" i="28"/>
  <c r="O9" i="28"/>
  <c r="M9" i="28"/>
  <c r="L9" i="28"/>
  <c r="I9" i="28"/>
  <c r="G9" i="28"/>
  <c r="D9" i="28"/>
  <c r="E9" i="28" s="1"/>
  <c r="B9" i="28"/>
  <c r="U8" i="28"/>
  <c r="S8" i="28"/>
  <c r="R8" i="28"/>
  <c r="O8" i="28"/>
  <c r="M8" i="28"/>
  <c r="L8" i="28"/>
  <c r="I8" i="28"/>
  <c r="G8" i="28"/>
  <c r="D8" i="28"/>
  <c r="E8" i="28" s="1"/>
  <c r="B8" i="28"/>
  <c r="U7" i="28"/>
  <c r="S7" i="28"/>
  <c r="R7" i="28"/>
  <c r="O7" i="28"/>
  <c r="M7" i="28"/>
  <c r="L7" i="28"/>
  <c r="I7" i="28"/>
  <c r="G7" i="28"/>
  <c r="D7" i="28"/>
  <c r="E7" i="28" s="1"/>
  <c r="B7" i="28"/>
  <c r="U6" i="28"/>
  <c r="S6" i="28"/>
  <c r="R6" i="28"/>
  <c r="O6" i="28"/>
  <c r="M6" i="28"/>
  <c r="L6" i="28"/>
  <c r="I6" i="28"/>
  <c r="G6" i="28"/>
  <c r="D6" i="28"/>
  <c r="E6" i="28" s="1"/>
  <c r="B6" i="28"/>
  <c r="U5" i="28"/>
  <c r="S5" i="28"/>
  <c r="R5" i="28"/>
  <c r="O5" i="28"/>
  <c r="M5" i="28"/>
  <c r="L5" i="28"/>
  <c r="V5" i="28" s="1"/>
  <c r="I5" i="28"/>
  <c r="G5" i="28"/>
  <c r="D5" i="28"/>
  <c r="E5" i="28" s="1"/>
  <c r="B5" i="28"/>
  <c r="U4" i="28"/>
  <c r="S4" i="28"/>
  <c r="R4" i="28"/>
  <c r="O4" i="28"/>
  <c r="M4" i="28"/>
  <c r="L4" i="28"/>
  <c r="I4" i="28"/>
  <c r="G4" i="28"/>
  <c r="D4" i="28"/>
  <c r="E4" i="28" s="1"/>
  <c r="B4" i="28"/>
  <c r="U3" i="28"/>
  <c r="S3" i="28"/>
  <c r="R3" i="28"/>
  <c r="O3" i="28"/>
  <c r="M3" i="28"/>
  <c r="L3" i="28"/>
  <c r="I3" i="28"/>
  <c r="G3" i="28"/>
  <c r="D3" i="28"/>
  <c r="E3" i="28" s="1"/>
  <c r="B3" i="28"/>
  <c r="U2" i="28"/>
  <c r="S2" i="28"/>
  <c r="R2" i="28"/>
  <c r="O2" i="28"/>
  <c r="M2" i="28"/>
  <c r="L2" i="28"/>
  <c r="I2" i="28"/>
  <c r="G2" i="28"/>
  <c r="D2" i="28"/>
  <c r="E2" i="28" s="1"/>
  <c r="B2" i="28"/>
  <c r="U82" i="27"/>
  <c r="S82" i="27"/>
  <c r="R82" i="27"/>
  <c r="O82" i="27"/>
  <c r="M82" i="27"/>
  <c r="L82" i="27"/>
  <c r="I82" i="27"/>
  <c r="G82" i="27"/>
  <c r="D82" i="27"/>
  <c r="E82" i="27" s="1"/>
  <c r="B82" i="27"/>
  <c r="U81" i="27"/>
  <c r="S81" i="27"/>
  <c r="R81" i="27"/>
  <c r="O81" i="27"/>
  <c r="M81" i="27"/>
  <c r="L81" i="27"/>
  <c r="V81" i="27" s="1"/>
  <c r="I81" i="27"/>
  <c r="G81" i="27"/>
  <c r="D81" i="27"/>
  <c r="E81" i="27" s="1"/>
  <c r="B81" i="27"/>
  <c r="U80" i="27"/>
  <c r="S80" i="27"/>
  <c r="R80" i="27"/>
  <c r="O80" i="27"/>
  <c r="M80" i="27"/>
  <c r="L80" i="27"/>
  <c r="V80" i="27" s="1"/>
  <c r="I80" i="27"/>
  <c r="G80" i="27"/>
  <c r="D80" i="27"/>
  <c r="E80" i="27" s="1"/>
  <c r="J80" i="27" s="1"/>
  <c r="B80" i="27"/>
  <c r="U79" i="27"/>
  <c r="S79" i="27"/>
  <c r="R79" i="27"/>
  <c r="O79" i="27"/>
  <c r="M79" i="27"/>
  <c r="L79" i="27"/>
  <c r="V79" i="27" s="1"/>
  <c r="I79" i="27"/>
  <c r="G79" i="27"/>
  <c r="D79" i="27"/>
  <c r="E79" i="27" s="1"/>
  <c r="B79" i="27"/>
  <c r="U78" i="27"/>
  <c r="S78" i="27"/>
  <c r="R78" i="27"/>
  <c r="O78" i="27"/>
  <c r="M78" i="27"/>
  <c r="L78" i="27"/>
  <c r="I78" i="27"/>
  <c r="G78" i="27"/>
  <c r="D78" i="27"/>
  <c r="E78" i="27" s="1"/>
  <c r="B78" i="27"/>
  <c r="U77" i="27"/>
  <c r="S77" i="27"/>
  <c r="R77" i="27"/>
  <c r="O77" i="27"/>
  <c r="M77" i="27"/>
  <c r="L77" i="27"/>
  <c r="I77" i="27"/>
  <c r="G77" i="27"/>
  <c r="D77" i="27"/>
  <c r="E77" i="27" s="1"/>
  <c r="J77" i="27" s="1"/>
  <c r="B77" i="27"/>
  <c r="U76" i="27"/>
  <c r="S76" i="27"/>
  <c r="R76" i="27"/>
  <c r="O76" i="27"/>
  <c r="M76" i="27"/>
  <c r="L76" i="27"/>
  <c r="I76" i="27"/>
  <c r="G76" i="27"/>
  <c r="D76" i="27"/>
  <c r="E76" i="27" s="1"/>
  <c r="B76" i="27"/>
  <c r="U75" i="27"/>
  <c r="S75" i="27"/>
  <c r="R75" i="27"/>
  <c r="O75" i="27"/>
  <c r="M75" i="27"/>
  <c r="L75" i="27"/>
  <c r="I75" i="27"/>
  <c r="G75" i="27"/>
  <c r="D75" i="27"/>
  <c r="E75" i="27" s="1"/>
  <c r="J75" i="27" s="1"/>
  <c r="N75" i="27" s="1"/>
  <c r="B75" i="27"/>
  <c r="U74" i="27"/>
  <c r="S74" i="27"/>
  <c r="R74" i="27"/>
  <c r="O74" i="27"/>
  <c r="M74" i="27"/>
  <c r="L74" i="27"/>
  <c r="I74" i="27"/>
  <c r="G74" i="27"/>
  <c r="D74" i="27"/>
  <c r="E74" i="27" s="1"/>
  <c r="B74" i="27"/>
  <c r="U73" i="27"/>
  <c r="S73" i="27"/>
  <c r="R73" i="27"/>
  <c r="O73" i="27"/>
  <c r="M73" i="27"/>
  <c r="L73" i="27"/>
  <c r="I73" i="27"/>
  <c r="G73" i="27"/>
  <c r="D73" i="27"/>
  <c r="E73" i="27" s="1"/>
  <c r="B73" i="27"/>
  <c r="U72" i="27"/>
  <c r="S72" i="27"/>
  <c r="R72" i="27"/>
  <c r="O72" i="27"/>
  <c r="M72" i="27"/>
  <c r="L72" i="27"/>
  <c r="I72" i="27"/>
  <c r="G72" i="27"/>
  <c r="D72" i="27"/>
  <c r="E72" i="27" s="1"/>
  <c r="B72" i="27"/>
  <c r="U71" i="27"/>
  <c r="S71" i="27"/>
  <c r="R71" i="27"/>
  <c r="O71" i="27"/>
  <c r="M71" i="27"/>
  <c r="L71" i="27"/>
  <c r="I71" i="27"/>
  <c r="G71" i="27"/>
  <c r="D71" i="27"/>
  <c r="E71" i="27" s="1"/>
  <c r="B71" i="27"/>
  <c r="U70" i="27"/>
  <c r="S70" i="27"/>
  <c r="R70" i="27"/>
  <c r="O70" i="27"/>
  <c r="M70" i="27"/>
  <c r="L70" i="27"/>
  <c r="I70" i="27"/>
  <c r="G70" i="27"/>
  <c r="D70" i="27"/>
  <c r="E70" i="27" s="1"/>
  <c r="B70" i="27"/>
  <c r="U69" i="27"/>
  <c r="S69" i="27"/>
  <c r="R69" i="27"/>
  <c r="O69" i="27"/>
  <c r="M69" i="27"/>
  <c r="L69" i="27"/>
  <c r="I69" i="27"/>
  <c r="G69" i="27"/>
  <c r="D69" i="27"/>
  <c r="E69" i="27" s="1"/>
  <c r="B69" i="27"/>
  <c r="U68" i="27"/>
  <c r="S68" i="27"/>
  <c r="R68" i="27"/>
  <c r="O68" i="27"/>
  <c r="M68" i="27"/>
  <c r="L68" i="27"/>
  <c r="I68" i="27"/>
  <c r="G68" i="27"/>
  <c r="D68" i="27"/>
  <c r="E68" i="27" s="1"/>
  <c r="J68" i="27" s="1"/>
  <c r="B68" i="27"/>
  <c r="U67" i="27"/>
  <c r="S67" i="27"/>
  <c r="R67" i="27"/>
  <c r="O67" i="27"/>
  <c r="M67" i="27"/>
  <c r="L67" i="27"/>
  <c r="V67" i="27" s="1"/>
  <c r="I67" i="27"/>
  <c r="G67" i="27"/>
  <c r="D67" i="27"/>
  <c r="E67" i="27" s="1"/>
  <c r="B67" i="27"/>
  <c r="U66" i="27"/>
  <c r="S66" i="27"/>
  <c r="R66" i="27"/>
  <c r="O66" i="27"/>
  <c r="M66" i="27"/>
  <c r="L66" i="27"/>
  <c r="I66" i="27"/>
  <c r="G66" i="27"/>
  <c r="D66" i="27"/>
  <c r="E66" i="27" s="1"/>
  <c r="B66" i="27"/>
  <c r="U65" i="27"/>
  <c r="S65" i="27"/>
  <c r="R65" i="27"/>
  <c r="O65" i="27"/>
  <c r="M65" i="27"/>
  <c r="L65" i="27"/>
  <c r="I65" i="27"/>
  <c r="G65" i="27"/>
  <c r="D65" i="27"/>
  <c r="E65" i="27" s="1"/>
  <c r="J65" i="27" s="1"/>
  <c r="B65" i="27"/>
  <c r="U64" i="27"/>
  <c r="S64" i="27"/>
  <c r="R64" i="27"/>
  <c r="O64" i="27"/>
  <c r="M64" i="27"/>
  <c r="L64" i="27"/>
  <c r="I64" i="27"/>
  <c r="G64" i="27"/>
  <c r="D64" i="27"/>
  <c r="E64" i="27" s="1"/>
  <c r="B64" i="27"/>
  <c r="U63" i="27"/>
  <c r="S63" i="27"/>
  <c r="R63" i="27"/>
  <c r="O63" i="27"/>
  <c r="M63" i="27"/>
  <c r="L63" i="27"/>
  <c r="I63" i="27"/>
  <c r="G63" i="27"/>
  <c r="D63" i="27"/>
  <c r="E63" i="27" s="1"/>
  <c r="J63" i="27" s="1"/>
  <c r="B63" i="27"/>
  <c r="U62" i="27"/>
  <c r="S62" i="27"/>
  <c r="R62" i="27"/>
  <c r="O62" i="27"/>
  <c r="M62" i="27"/>
  <c r="L62" i="27"/>
  <c r="I62" i="27"/>
  <c r="G62" i="27"/>
  <c r="D62" i="27"/>
  <c r="E62" i="27" s="1"/>
  <c r="B62" i="27"/>
  <c r="U61" i="27"/>
  <c r="S61" i="27"/>
  <c r="R61" i="27"/>
  <c r="O61" i="27"/>
  <c r="M61" i="27"/>
  <c r="L61" i="27"/>
  <c r="I61" i="27"/>
  <c r="J61" i="27" s="1"/>
  <c r="G61" i="27"/>
  <c r="D61" i="27"/>
  <c r="E61" i="27" s="1"/>
  <c r="B61" i="27"/>
  <c r="U60" i="27"/>
  <c r="S60" i="27"/>
  <c r="R60" i="27"/>
  <c r="O60" i="27"/>
  <c r="M60" i="27"/>
  <c r="L60" i="27"/>
  <c r="I60" i="27"/>
  <c r="G60" i="27"/>
  <c r="D60" i="27"/>
  <c r="E60" i="27" s="1"/>
  <c r="B60" i="27"/>
  <c r="U59" i="27"/>
  <c r="S59" i="27"/>
  <c r="R59" i="27"/>
  <c r="O59" i="27"/>
  <c r="M59" i="27"/>
  <c r="L59" i="27"/>
  <c r="I59" i="27"/>
  <c r="G59" i="27"/>
  <c r="D59" i="27"/>
  <c r="E59" i="27" s="1"/>
  <c r="B59" i="27"/>
  <c r="U58" i="27"/>
  <c r="S58" i="27"/>
  <c r="R58" i="27"/>
  <c r="O58" i="27"/>
  <c r="M58" i="27"/>
  <c r="L58" i="27"/>
  <c r="I58" i="27"/>
  <c r="G58" i="27"/>
  <c r="D58" i="27"/>
  <c r="E58" i="27" s="1"/>
  <c r="B58" i="27"/>
  <c r="U57" i="27"/>
  <c r="S57" i="27"/>
  <c r="R57" i="27"/>
  <c r="O57" i="27"/>
  <c r="M57" i="27"/>
  <c r="L57" i="27"/>
  <c r="V57" i="27" s="1"/>
  <c r="I57" i="27"/>
  <c r="G57" i="27"/>
  <c r="D57" i="27"/>
  <c r="E57" i="27" s="1"/>
  <c r="B57" i="27"/>
  <c r="U56" i="27"/>
  <c r="S56" i="27"/>
  <c r="R56" i="27"/>
  <c r="O56" i="27"/>
  <c r="M56" i="27"/>
  <c r="L56" i="27"/>
  <c r="V56" i="27" s="1"/>
  <c r="I56" i="27"/>
  <c r="G56" i="27"/>
  <c r="D56" i="27"/>
  <c r="E56" i="27" s="1"/>
  <c r="J56" i="27" s="1"/>
  <c r="B56" i="27"/>
  <c r="U55" i="27"/>
  <c r="S55" i="27"/>
  <c r="R55" i="27"/>
  <c r="O55" i="27"/>
  <c r="M55" i="27"/>
  <c r="L55" i="27"/>
  <c r="I55" i="27"/>
  <c r="G55" i="27"/>
  <c r="D55" i="27"/>
  <c r="E55" i="27" s="1"/>
  <c r="B55" i="27"/>
  <c r="U54" i="27"/>
  <c r="S54" i="27"/>
  <c r="R54" i="27"/>
  <c r="O54" i="27"/>
  <c r="M54" i="27"/>
  <c r="L54" i="27"/>
  <c r="I54" i="27"/>
  <c r="G54" i="27"/>
  <c r="D54" i="27"/>
  <c r="E54" i="27" s="1"/>
  <c r="B54" i="27"/>
  <c r="U53" i="27"/>
  <c r="S53" i="27"/>
  <c r="R53" i="27"/>
  <c r="O53" i="27"/>
  <c r="M53" i="27"/>
  <c r="L53" i="27"/>
  <c r="I53" i="27"/>
  <c r="G53" i="27"/>
  <c r="D53" i="27"/>
  <c r="E53" i="27" s="1"/>
  <c r="J53" i="27" s="1"/>
  <c r="N53" i="27" s="1"/>
  <c r="B53" i="27"/>
  <c r="U52" i="27"/>
  <c r="S52" i="27"/>
  <c r="R52" i="27"/>
  <c r="O52" i="27"/>
  <c r="M52" i="27"/>
  <c r="L52" i="27"/>
  <c r="I52" i="27"/>
  <c r="G52" i="27"/>
  <c r="D52" i="27"/>
  <c r="E52" i="27" s="1"/>
  <c r="B52" i="27"/>
  <c r="U51" i="27"/>
  <c r="S51" i="27"/>
  <c r="R51" i="27"/>
  <c r="O51" i="27"/>
  <c r="M51" i="27"/>
  <c r="L51" i="27"/>
  <c r="I51" i="27"/>
  <c r="G51" i="27"/>
  <c r="D51" i="27"/>
  <c r="E51" i="27" s="1"/>
  <c r="J51" i="27" s="1"/>
  <c r="B51" i="27"/>
  <c r="U50" i="27"/>
  <c r="S50" i="27"/>
  <c r="R50" i="27"/>
  <c r="O50" i="27"/>
  <c r="M50" i="27"/>
  <c r="L50" i="27"/>
  <c r="V50" i="27" s="1"/>
  <c r="I50" i="27"/>
  <c r="G50" i="27"/>
  <c r="D50" i="27"/>
  <c r="E50" i="27" s="1"/>
  <c r="B50" i="27"/>
  <c r="U49" i="27"/>
  <c r="S49" i="27"/>
  <c r="R49" i="27"/>
  <c r="O49" i="27"/>
  <c r="M49" i="27"/>
  <c r="L49" i="27"/>
  <c r="V49" i="27" s="1"/>
  <c r="I49" i="27"/>
  <c r="G49" i="27"/>
  <c r="D49" i="27"/>
  <c r="E49" i="27" s="1"/>
  <c r="J49" i="27" s="1"/>
  <c r="B49" i="27"/>
  <c r="U48" i="27"/>
  <c r="S48" i="27"/>
  <c r="R48" i="27"/>
  <c r="O48" i="27"/>
  <c r="M48" i="27"/>
  <c r="L48" i="27"/>
  <c r="I48" i="27"/>
  <c r="G48" i="27"/>
  <c r="D48" i="27"/>
  <c r="E48" i="27" s="1"/>
  <c r="B48" i="27"/>
  <c r="U47" i="27"/>
  <c r="S47" i="27"/>
  <c r="R47" i="27"/>
  <c r="O47" i="27"/>
  <c r="M47" i="27"/>
  <c r="L47" i="27"/>
  <c r="I47" i="27"/>
  <c r="G47" i="27"/>
  <c r="D47" i="27"/>
  <c r="E47" i="27" s="1"/>
  <c r="B47" i="27"/>
  <c r="U46" i="27"/>
  <c r="S46" i="27"/>
  <c r="R46" i="27"/>
  <c r="O46" i="27"/>
  <c r="M46" i="27"/>
  <c r="L46" i="27"/>
  <c r="I46" i="27"/>
  <c r="G46" i="27"/>
  <c r="D46" i="27"/>
  <c r="E46" i="27" s="1"/>
  <c r="B46" i="27"/>
  <c r="U45" i="27"/>
  <c r="V45" i="27" s="1"/>
  <c r="S45" i="27"/>
  <c r="R45" i="27"/>
  <c r="O45" i="27"/>
  <c r="M45" i="27"/>
  <c r="L45" i="27"/>
  <c r="I45" i="27"/>
  <c r="G45" i="27"/>
  <c r="D45" i="27"/>
  <c r="E45" i="27" s="1"/>
  <c r="B45" i="27"/>
  <c r="U44" i="27"/>
  <c r="S44" i="27"/>
  <c r="R44" i="27"/>
  <c r="O44" i="27"/>
  <c r="M44" i="27"/>
  <c r="L44" i="27"/>
  <c r="I44" i="27"/>
  <c r="G44" i="27"/>
  <c r="D44" i="27"/>
  <c r="E44" i="27" s="1"/>
  <c r="J44" i="27" s="1"/>
  <c r="B44" i="27"/>
  <c r="U43" i="27"/>
  <c r="V43" i="27" s="1"/>
  <c r="S43" i="27"/>
  <c r="R43" i="27"/>
  <c r="O43" i="27"/>
  <c r="M43" i="27"/>
  <c r="L43" i="27"/>
  <c r="I43" i="27"/>
  <c r="G43" i="27"/>
  <c r="D43" i="27"/>
  <c r="E43" i="27" s="1"/>
  <c r="B43" i="27"/>
  <c r="U42" i="27"/>
  <c r="S42" i="27"/>
  <c r="R42" i="27"/>
  <c r="O42" i="27"/>
  <c r="M42" i="27"/>
  <c r="L42" i="27"/>
  <c r="I42" i="27"/>
  <c r="G42" i="27"/>
  <c r="D42" i="27"/>
  <c r="E42" i="27" s="1"/>
  <c r="J42" i="27" s="1"/>
  <c r="B42" i="27"/>
  <c r="U41" i="27"/>
  <c r="S41" i="27"/>
  <c r="R41" i="27"/>
  <c r="O41" i="27"/>
  <c r="M41" i="27"/>
  <c r="L41" i="27"/>
  <c r="I41" i="27"/>
  <c r="G41" i="27"/>
  <c r="D41" i="27"/>
  <c r="E41" i="27" s="1"/>
  <c r="B41" i="27"/>
  <c r="U40" i="27"/>
  <c r="S40" i="27"/>
  <c r="R40" i="27"/>
  <c r="O40" i="27"/>
  <c r="M40" i="27"/>
  <c r="L40" i="27"/>
  <c r="I40" i="27"/>
  <c r="G40" i="27"/>
  <c r="D40" i="27"/>
  <c r="E40" i="27" s="1"/>
  <c r="B40" i="27"/>
  <c r="U39" i="27"/>
  <c r="S39" i="27"/>
  <c r="R39" i="27"/>
  <c r="O39" i="27"/>
  <c r="M39" i="27"/>
  <c r="L39" i="27"/>
  <c r="I39" i="27"/>
  <c r="G39" i="27"/>
  <c r="D39" i="27"/>
  <c r="E39" i="27" s="1"/>
  <c r="J39" i="27" s="1"/>
  <c r="B39" i="27"/>
  <c r="U38" i="27"/>
  <c r="S38" i="27"/>
  <c r="R38" i="27"/>
  <c r="O38" i="27"/>
  <c r="M38" i="27"/>
  <c r="L38" i="27"/>
  <c r="I38" i="27"/>
  <c r="G38" i="27"/>
  <c r="D38" i="27"/>
  <c r="E38" i="27" s="1"/>
  <c r="B38" i="27"/>
  <c r="U37" i="27"/>
  <c r="S37" i="27"/>
  <c r="R37" i="27"/>
  <c r="O37" i="27"/>
  <c r="M37" i="27"/>
  <c r="L37" i="27"/>
  <c r="I37" i="27"/>
  <c r="G37" i="27"/>
  <c r="D37" i="27"/>
  <c r="E37" i="27" s="1"/>
  <c r="J37" i="27" s="1"/>
  <c r="N37" i="27" s="1"/>
  <c r="B37" i="27"/>
  <c r="U36" i="27"/>
  <c r="S36" i="27"/>
  <c r="R36" i="27"/>
  <c r="O36" i="27"/>
  <c r="M36" i="27"/>
  <c r="L36" i="27"/>
  <c r="I36" i="27"/>
  <c r="G36" i="27"/>
  <c r="D36" i="27"/>
  <c r="E36" i="27" s="1"/>
  <c r="B36" i="27"/>
  <c r="U35" i="27"/>
  <c r="S35" i="27"/>
  <c r="R35" i="27"/>
  <c r="O35" i="27"/>
  <c r="M35" i="27"/>
  <c r="L35" i="27"/>
  <c r="I35" i="27"/>
  <c r="G35" i="27"/>
  <c r="D35" i="27"/>
  <c r="E35" i="27" s="1"/>
  <c r="B35" i="27"/>
  <c r="U34" i="27"/>
  <c r="S34" i="27"/>
  <c r="R34" i="27"/>
  <c r="O34" i="27"/>
  <c r="M34" i="27"/>
  <c r="L34" i="27"/>
  <c r="I34" i="27"/>
  <c r="G34" i="27"/>
  <c r="D34" i="27"/>
  <c r="E34" i="27" s="1"/>
  <c r="B34" i="27"/>
  <c r="U33" i="27"/>
  <c r="S33" i="27"/>
  <c r="R33" i="27"/>
  <c r="O33" i="27"/>
  <c r="M33" i="27"/>
  <c r="L33" i="27"/>
  <c r="V33" i="27" s="1"/>
  <c r="I33" i="27"/>
  <c r="G33" i="27"/>
  <c r="D33" i="27"/>
  <c r="E33" i="27" s="1"/>
  <c r="B33" i="27"/>
  <c r="U32" i="27"/>
  <c r="S32" i="27"/>
  <c r="R32" i="27"/>
  <c r="O32" i="27"/>
  <c r="M32" i="27"/>
  <c r="L32" i="27"/>
  <c r="V32" i="27" s="1"/>
  <c r="I32" i="27"/>
  <c r="G32" i="27"/>
  <c r="D32" i="27"/>
  <c r="E32" i="27" s="1"/>
  <c r="J32" i="27" s="1"/>
  <c r="B32" i="27"/>
  <c r="U31" i="27"/>
  <c r="S31" i="27"/>
  <c r="R31" i="27"/>
  <c r="O31" i="27"/>
  <c r="M31" i="27"/>
  <c r="L31" i="27"/>
  <c r="I31" i="27"/>
  <c r="G31" i="27"/>
  <c r="D31" i="27"/>
  <c r="E31" i="27" s="1"/>
  <c r="B31" i="27"/>
  <c r="U30" i="27"/>
  <c r="S30" i="27"/>
  <c r="R30" i="27"/>
  <c r="O30" i="27"/>
  <c r="M30" i="27"/>
  <c r="L30" i="27"/>
  <c r="I30" i="27"/>
  <c r="G30" i="27"/>
  <c r="D30" i="27"/>
  <c r="E30" i="27" s="1"/>
  <c r="B30" i="27"/>
  <c r="U29" i="27"/>
  <c r="S29" i="27"/>
  <c r="R29" i="27"/>
  <c r="O29" i="27"/>
  <c r="M29" i="27"/>
  <c r="L29" i="27"/>
  <c r="I29" i="27"/>
  <c r="G29" i="27"/>
  <c r="D29" i="27"/>
  <c r="E29" i="27" s="1"/>
  <c r="J29" i="27" s="1"/>
  <c r="N29" i="27" s="1"/>
  <c r="B29" i="27"/>
  <c r="U28" i="27"/>
  <c r="S28" i="27"/>
  <c r="R28" i="27"/>
  <c r="O28" i="27"/>
  <c r="M28" i="27"/>
  <c r="L28" i="27"/>
  <c r="I28" i="27"/>
  <c r="G28" i="27"/>
  <c r="D28" i="27"/>
  <c r="E28" i="27" s="1"/>
  <c r="B28" i="27"/>
  <c r="U27" i="27"/>
  <c r="V27" i="27" s="1"/>
  <c r="S27" i="27"/>
  <c r="R27" i="27"/>
  <c r="O27" i="27"/>
  <c r="M27" i="27"/>
  <c r="L27" i="27"/>
  <c r="I27" i="27"/>
  <c r="G27" i="27"/>
  <c r="D27" i="27"/>
  <c r="E27" i="27" s="1"/>
  <c r="J27" i="27" s="1"/>
  <c r="B27" i="27"/>
  <c r="U26" i="27"/>
  <c r="S26" i="27"/>
  <c r="R26" i="27"/>
  <c r="O26" i="27"/>
  <c r="M26" i="27"/>
  <c r="L26" i="27"/>
  <c r="V26" i="27" s="1"/>
  <c r="I26" i="27"/>
  <c r="G26" i="27"/>
  <c r="D26" i="27"/>
  <c r="E26" i="27" s="1"/>
  <c r="B26" i="27"/>
  <c r="U25" i="27"/>
  <c r="S25" i="27"/>
  <c r="R25" i="27"/>
  <c r="O25" i="27"/>
  <c r="M25" i="27"/>
  <c r="L25" i="27"/>
  <c r="V25" i="27" s="1"/>
  <c r="I25" i="27"/>
  <c r="G25" i="27"/>
  <c r="D25" i="27"/>
  <c r="E25" i="27" s="1"/>
  <c r="B25" i="27"/>
  <c r="U24" i="27"/>
  <c r="S24" i="27"/>
  <c r="R24" i="27"/>
  <c r="O24" i="27"/>
  <c r="M24" i="27"/>
  <c r="L24" i="27"/>
  <c r="I24" i="27"/>
  <c r="G24" i="27"/>
  <c r="D24" i="27"/>
  <c r="E24" i="27" s="1"/>
  <c r="B24" i="27"/>
  <c r="U23" i="27"/>
  <c r="S23" i="27"/>
  <c r="R23" i="27"/>
  <c r="O23" i="27"/>
  <c r="M23" i="27"/>
  <c r="L23" i="27"/>
  <c r="I23" i="27"/>
  <c r="G23" i="27"/>
  <c r="D23" i="27"/>
  <c r="E23" i="27" s="1"/>
  <c r="B23" i="27"/>
  <c r="U22" i="27"/>
  <c r="S22" i="27"/>
  <c r="R22" i="27"/>
  <c r="O22" i="27"/>
  <c r="M22" i="27"/>
  <c r="L22" i="27"/>
  <c r="I22" i="27"/>
  <c r="G22" i="27"/>
  <c r="D22" i="27"/>
  <c r="E22" i="27" s="1"/>
  <c r="B22" i="27"/>
  <c r="U21" i="27"/>
  <c r="S21" i="27"/>
  <c r="R21" i="27"/>
  <c r="O21" i="27"/>
  <c r="M21" i="27"/>
  <c r="L21" i="27"/>
  <c r="I21" i="27"/>
  <c r="G21" i="27"/>
  <c r="D21" i="27"/>
  <c r="E21" i="27" s="1"/>
  <c r="B21" i="27"/>
  <c r="U20" i="27"/>
  <c r="S20" i="27"/>
  <c r="R20" i="27"/>
  <c r="O20" i="27"/>
  <c r="M20" i="27"/>
  <c r="L20" i="27"/>
  <c r="I20" i="27"/>
  <c r="G20" i="27"/>
  <c r="D20" i="27"/>
  <c r="E20" i="27" s="1"/>
  <c r="J20" i="27" s="1"/>
  <c r="B20" i="27"/>
  <c r="U19" i="27"/>
  <c r="V19" i="27" s="1"/>
  <c r="S19" i="27"/>
  <c r="R19" i="27"/>
  <c r="O19" i="27"/>
  <c r="M19" i="27"/>
  <c r="L19" i="27"/>
  <c r="I19" i="27"/>
  <c r="G19" i="27"/>
  <c r="D19" i="27"/>
  <c r="E19" i="27" s="1"/>
  <c r="B19" i="27"/>
  <c r="U18" i="27"/>
  <c r="S18" i="27"/>
  <c r="R18" i="27"/>
  <c r="O18" i="27"/>
  <c r="M18" i="27"/>
  <c r="L18" i="27"/>
  <c r="I18" i="27"/>
  <c r="G18" i="27"/>
  <c r="D18" i="27"/>
  <c r="E18" i="27" s="1"/>
  <c r="B18" i="27"/>
  <c r="U17" i="27"/>
  <c r="S17" i="27"/>
  <c r="R17" i="27"/>
  <c r="O17" i="27"/>
  <c r="M17" i="27"/>
  <c r="L17" i="27"/>
  <c r="I17" i="27"/>
  <c r="G17" i="27"/>
  <c r="D17" i="27"/>
  <c r="E17" i="27" s="1"/>
  <c r="B17" i="27"/>
  <c r="U16" i="27"/>
  <c r="S16" i="27"/>
  <c r="R16" i="27"/>
  <c r="O16" i="27"/>
  <c r="M16" i="27"/>
  <c r="L16" i="27"/>
  <c r="I16" i="27"/>
  <c r="G16" i="27"/>
  <c r="D16" i="27"/>
  <c r="E16" i="27" s="1"/>
  <c r="J16" i="27" s="1"/>
  <c r="B16" i="27"/>
  <c r="U15" i="27"/>
  <c r="S15" i="27"/>
  <c r="R15" i="27"/>
  <c r="O15" i="27"/>
  <c r="M15" i="27"/>
  <c r="L15" i="27"/>
  <c r="I15" i="27"/>
  <c r="G15" i="27"/>
  <c r="D15" i="27"/>
  <c r="E15" i="27" s="1"/>
  <c r="J15" i="27" s="1"/>
  <c r="B15" i="27"/>
  <c r="U14" i="27"/>
  <c r="S14" i="27"/>
  <c r="R14" i="27"/>
  <c r="O14" i="27"/>
  <c r="M14" i="27"/>
  <c r="L14" i="27"/>
  <c r="I14" i="27"/>
  <c r="G14" i="27"/>
  <c r="D14" i="27"/>
  <c r="E14" i="27" s="1"/>
  <c r="B14" i="27"/>
  <c r="U13" i="27"/>
  <c r="S13" i="27"/>
  <c r="R13" i="27"/>
  <c r="O13" i="27"/>
  <c r="M13" i="27"/>
  <c r="L13" i="27"/>
  <c r="I13" i="27"/>
  <c r="G13" i="27"/>
  <c r="D13" i="27"/>
  <c r="E13" i="27" s="1"/>
  <c r="J13" i="27" s="1"/>
  <c r="B13" i="27"/>
  <c r="U12" i="27"/>
  <c r="S12" i="27"/>
  <c r="R12" i="27"/>
  <c r="O12" i="27"/>
  <c r="M12" i="27"/>
  <c r="L12" i="27"/>
  <c r="I12" i="27"/>
  <c r="G12" i="27"/>
  <c r="D12" i="27"/>
  <c r="E12" i="27" s="1"/>
  <c r="B12" i="27"/>
  <c r="U11" i="27"/>
  <c r="S11" i="27"/>
  <c r="R11" i="27"/>
  <c r="O11" i="27"/>
  <c r="M11" i="27"/>
  <c r="L11" i="27"/>
  <c r="I11" i="27"/>
  <c r="G11" i="27"/>
  <c r="D11" i="27"/>
  <c r="E11" i="27" s="1"/>
  <c r="B11" i="27"/>
  <c r="U10" i="27"/>
  <c r="S10" i="27"/>
  <c r="R10" i="27"/>
  <c r="O10" i="27"/>
  <c r="M10" i="27"/>
  <c r="L10" i="27"/>
  <c r="I10" i="27"/>
  <c r="G10" i="27"/>
  <c r="D10" i="27"/>
  <c r="E10" i="27" s="1"/>
  <c r="B10" i="27"/>
  <c r="U9" i="27"/>
  <c r="S9" i="27"/>
  <c r="R9" i="27"/>
  <c r="O9" i="27"/>
  <c r="M9" i="27"/>
  <c r="L9" i="27"/>
  <c r="V9" i="27" s="1"/>
  <c r="I9" i="27"/>
  <c r="G9" i="27"/>
  <c r="D9" i="27"/>
  <c r="E9" i="27" s="1"/>
  <c r="B9" i="27"/>
  <c r="U8" i="27"/>
  <c r="S8" i="27"/>
  <c r="R8" i="27"/>
  <c r="O8" i="27"/>
  <c r="M8" i="27"/>
  <c r="L8" i="27"/>
  <c r="V8" i="27" s="1"/>
  <c r="I8" i="27"/>
  <c r="G8" i="27"/>
  <c r="D8" i="27"/>
  <c r="E8" i="27" s="1"/>
  <c r="J8" i="27" s="1"/>
  <c r="B8" i="27"/>
  <c r="U7" i="27"/>
  <c r="S7" i="27"/>
  <c r="R7" i="27"/>
  <c r="O7" i="27"/>
  <c r="M7" i="27"/>
  <c r="L7" i="27"/>
  <c r="I7" i="27"/>
  <c r="G7" i="27"/>
  <c r="D7" i="27"/>
  <c r="E7" i="27" s="1"/>
  <c r="B7" i="27"/>
  <c r="U6" i="27"/>
  <c r="S6" i="27"/>
  <c r="R6" i="27"/>
  <c r="O6" i="27"/>
  <c r="M6" i="27"/>
  <c r="L6" i="27"/>
  <c r="I6" i="27"/>
  <c r="G6" i="27"/>
  <c r="D6" i="27"/>
  <c r="E6" i="27" s="1"/>
  <c r="B6" i="27"/>
  <c r="U5" i="27"/>
  <c r="S5" i="27"/>
  <c r="R5" i="27"/>
  <c r="O5" i="27"/>
  <c r="M5" i="27"/>
  <c r="L5" i="27"/>
  <c r="I5" i="27"/>
  <c r="G5" i="27"/>
  <c r="D5" i="27"/>
  <c r="E5" i="27" s="1"/>
  <c r="J5" i="27" s="1"/>
  <c r="N5" i="27" s="1"/>
  <c r="B5" i="27"/>
  <c r="U4" i="27"/>
  <c r="S4" i="27"/>
  <c r="R4" i="27"/>
  <c r="O4" i="27"/>
  <c r="M4" i="27"/>
  <c r="L4" i="27"/>
  <c r="I4" i="27"/>
  <c r="G4" i="27"/>
  <c r="D4" i="27"/>
  <c r="E4" i="27" s="1"/>
  <c r="B4" i="27"/>
  <c r="U3" i="27"/>
  <c r="S3" i="27"/>
  <c r="R3" i="27"/>
  <c r="O3" i="27"/>
  <c r="M3" i="27"/>
  <c r="L3" i="27"/>
  <c r="I3" i="27"/>
  <c r="G3" i="27"/>
  <c r="D3" i="27"/>
  <c r="E3" i="27" s="1"/>
  <c r="B3" i="27"/>
  <c r="U2" i="27"/>
  <c r="S2" i="27"/>
  <c r="R2" i="27"/>
  <c r="O2" i="27"/>
  <c r="M2" i="27"/>
  <c r="L2" i="27"/>
  <c r="I2" i="27"/>
  <c r="G2" i="27"/>
  <c r="D2" i="27"/>
  <c r="E2" i="27" s="1"/>
  <c r="B2" i="27"/>
  <c r="V36" i="30" l="1"/>
  <c r="V3" i="30"/>
  <c r="V12" i="30"/>
  <c r="V42" i="30"/>
  <c r="V59" i="30"/>
  <c r="V60" i="30"/>
  <c r="V29" i="30"/>
  <c r="V43" i="30"/>
  <c r="V10" i="30"/>
  <c r="V19" i="30"/>
  <c r="V34" i="30"/>
  <c r="V41" i="30"/>
  <c r="V58" i="30"/>
  <c r="V61" i="30"/>
  <c r="V50" i="30"/>
  <c r="V18" i="30"/>
  <c r="V26" i="30"/>
  <c r="V49" i="30"/>
  <c r="V57" i="30"/>
  <c r="W57" i="30" s="1"/>
  <c r="X57" i="30" s="1"/>
  <c r="Y57" i="30" s="1"/>
  <c r="V40" i="30"/>
  <c r="V16" i="30"/>
  <c r="V25" i="30"/>
  <c r="V23" i="30"/>
  <c r="N33" i="30"/>
  <c r="V14" i="28"/>
  <c r="V26" i="28"/>
  <c r="V69" i="28"/>
  <c r="V62" i="28"/>
  <c r="V19" i="28"/>
  <c r="V55" i="28"/>
  <c r="V61" i="28"/>
  <c r="V6" i="28"/>
  <c r="V42" i="28"/>
  <c r="V67" i="28"/>
  <c r="N63" i="28"/>
  <c r="J69" i="28"/>
  <c r="J82" i="28"/>
  <c r="J45" i="28"/>
  <c r="J53" i="28"/>
  <c r="N53" i="28" s="1"/>
  <c r="J75" i="28"/>
  <c r="N75" i="28" s="1"/>
  <c r="J9" i="28"/>
  <c r="N9" i="28" s="1"/>
  <c r="J31" i="28"/>
  <c r="N31" i="28" s="1"/>
  <c r="J38" i="28"/>
  <c r="N38" i="28" s="1"/>
  <c r="V81" i="28"/>
  <c r="J2" i="28"/>
  <c r="N2" i="28" s="1"/>
  <c r="N30" i="28"/>
  <c r="W30" i="28" s="1"/>
  <c r="X30" i="28" s="1"/>
  <c r="Y30" i="28" s="1"/>
  <c r="J35" i="28"/>
  <c r="N52" i="28"/>
  <c r="J57" i="28"/>
  <c r="J79" i="28"/>
  <c r="J28" i="28"/>
  <c r="J34" i="28"/>
  <c r="J27" i="28"/>
  <c r="J33" i="28"/>
  <c r="J76" i="28"/>
  <c r="N76" i="28" s="1"/>
  <c r="J39" i="28"/>
  <c r="J4" i="28"/>
  <c r="N4" i="28" s="1"/>
  <c r="V4" i="28"/>
  <c r="J74" i="28"/>
  <c r="J3" i="28"/>
  <c r="V74" i="28"/>
  <c r="V9" i="28"/>
  <c r="J65" i="28"/>
  <c r="J14" i="28"/>
  <c r="J21" i="28"/>
  <c r="N21" i="28" s="1"/>
  <c r="J29" i="28"/>
  <c r="N29" i="28" s="1"/>
  <c r="V43" i="28"/>
  <c r="J50" i="28"/>
  <c r="N50" i="28" s="1"/>
  <c r="V57" i="28"/>
  <c r="V12" i="28"/>
  <c r="V49" i="28"/>
  <c r="V56" i="28"/>
  <c r="W56" i="28" s="1"/>
  <c r="X56" i="28" s="1"/>
  <c r="Y56" i="28" s="1"/>
  <c r="V11" i="28"/>
  <c r="W11" i="28" s="1"/>
  <c r="X11" i="28" s="1"/>
  <c r="Y11" i="28" s="1"/>
  <c r="V18" i="28"/>
  <c r="V27" i="28"/>
  <c r="V36" i="28"/>
  <c r="V51" i="28"/>
  <c r="V20" i="28"/>
  <c r="V24" i="27"/>
  <c r="V48" i="27"/>
  <c r="V71" i="27"/>
  <c r="V4" i="27"/>
  <c r="V16" i="27"/>
  <c r="V40" i="27"/>
  <c r="V64" i="27"/>
  <c r="J59" i="27"/>
  <c r="J40" i="27"/>
  <c r="J66" i="27"/>
  <c r="J78" i="27"/>
  <c r="N78" i="27" s="1"/>
  <c r="V34" i="27"/>
  <c r="J71" i="27"/>
  <c r="N71" i="27" s="1"/>
  <c r="V3" i="27"/>
  <c r="J30" i="27"/>
  <c r="N30" i="27" s="1"/>
  <c r="J47" i="27"/>
  <c r="N47" i="27" s="1"/>
  <c r="J54" i="27"/>
  <c r="N54" i="27" s="1"/>
  <c r="V10" i="27"/>
  <c r="V17" i="27"/>
  <c r="V37" i="27"/>
  <c r="W37" i="27" s="1"/>
  <c r="X37" i="27" s="1"/>
  <c r="Y37" i="27" s="1"/>
  <c r="J62" i="27"/>
  <c r="N62" i="27" s="1"/>
  <c r="V2" i="27"/>
  <c r="J6" i="27"/>
  <c r="J21" i="27"/>
  <c r="N21" i="27" s="1"/>
  <c r="N27" i="27"/>
  <c r="W27" i="27" s="1"/>
  <c r="X27" i="27" s="1"/>
  <c r="Y27" i="27" s="1"/>
  <c r="V13" i="27"/>
  <c r="J28" i="27"/>
  <c r="N28" i="27" s="1"/>
  <c r="V44" i="27"/>
  <c r="J11" i="27"/>
  <c r="N11" i="27" s="1"/>
  <c r="J18" i="27"/>
  <c r="N18" i="27" s="1"/>
  <c r="J64" i="27"/>
  <c r="N64" i="27" s="1"/>
  <c r="N15" i="27"/>
  <c r="V21" i="27"/>
  <c r="J35" i="27"/>
  <c r="N35" i="27" s="1"/>
  <c r="J52" i="27"/>
  <c r="J60" i="27"/>
  <c r="V69" i="27"/>
  <c r="V76" i="27"/>
  <c r="J3" i="27"/>
  <c r="N3" i="27" s="1"/>
  <c r="V28" i="27"/>
  <c r="J41" i="27"/>
  <c r="N41" i="27" s="1"/>
  <c r="V52" i="27"/>
  <c r="J17" i="27"/>
  <c r="N17" i="27" s="1"/>
  <c r="W17" i="27" s="1"/>
  <c r="X17" i="27" s="1"/>
  <c r="Y17" i="27" s="1"/>
  <c r="J25" i="27"/>
  <c r="V68" i="27"/>
  <c r="J73" i="27"/>
  <c r="V72" i="27"/>
  <c r="V63" i="27"/>
  <c r="N65" i="27"/>
  <c r="V46" i="27"/>
  <c r="V53" i="27"/>
  <c r="W53" i="27" s="1"/>
  <c r="X53" i="27" s="1"/>
  <c r="Y53" i="27" s="1"/>
  <c r="V62" i="27"/>
  <c r="W62" i="27" s="1"/>
  <c r="X62" i="27" s="1"/>
  <c r="Y62" i="27" s="1"/>
  <c r="V36" i="27"/>
  <c r="V4" i="30"/>
  <c r="V14" i="30"/>
  <c r="V30" i="30"/>
  <c r="N36" i="30"/>
  <c r="W36" i="30" s="1"/>
  <c r="X36" i="30" s="1"/>
  <c r="Y36" i="30" s="1"/>
  <c r="V38" i="30"/>
  <c r="V21" i="30"/>
  <c r="V47" i="30"/>
  <c r="V2" i="30"/>
  <c r="V13" i="30"/>
  <c r="V37" i="30"/>
  <c r="V45" i="30"/>
  <c r="W45" i="30" s="1"/>
  <c r="X45" i="30" s="1"/>
  <c r="Y45" i="30" s="1"/>
  <c r="V35" i="30"/>
  <c r="V11" i="30"/>
  <c r="V28" i="30"/>
  <c r="V54" i="30"/>
  <c r="V9" i="30"/>
  <c r="W9" i="30" s="1"/>
  <c r="X9" i="30" s="1"/>
  <c r="Y9" i="30" s="1"/>
  <c r="N21" i="30"/>
  <c r="N22" i="30"/>
  <c r="W22" i="30" s="1"/>
  <c r="X22" i="30" s="1"/>
  <c r="Y22" i="30" s="1"/>
  <c r="V33" i="30"/>
  <c r="N38" i="30"/>
  <c r="W38" i="30" s="1"/>
  <c r="X38" i="30" s="1"/>
  <c r="Y38" i="30" s="1"/>
  <c r="V52" i="30"/>
  <c r="V62" i="30"/>
  <c r="W58" i="30"/>
  <c r="X58" i="30" s="1"/>
  <c r="Y58" i="30" s="1"/>
  <c r="J20" i="30"/>
  <c r="J8" i="30"/>
  <c r="W21" i="30"/>
  <c r="X21" i="30"/>
  <c r="Y21" i="30" s="1"/>
  <c r="J49" i="30"/>
  <c r="N49" i="30" s="1"/>
  <c r="W29" i="30"/>
  <c r="X29" i="30" s="1"/>
  <c r="J18" i="30"/>
  <c r="N18" i="30" s="1"/>
  <c r="N32" i="30"/>
  <c r="J11" i="30"/>
  <c r="J4" i="30"/>
  <c r="N17" i="30"/>
  <c r="N25" i="30"/>
  <c r="J40" i="30"/>
  <c r="J62" i="30"/>
  <c r="N62" i="30" s="1"/>
  <c r="N20" i="30"/>
  <c r="N19" i="30"/>
  <c r="V27" i="30"/>
  <c r="N27" i="30"/>
  <c r="N55" i="30"/>
  <c r="N5" i="30"/>
  <c r="J28" i="30"/>
  <c r="V32" i="30"/>
  <c r="N34" i="30"/>
  <c r="N41" i="30"/>
  <c r="N12" i="30"/>
  <c r="J14" i="30"/>
  <c r="N14" i="30" s="1"/>
  <c r="N28" i="30"/>
  <c r="N48" i="30"/>
  <c r="J50" i="30"/>
  <c r="N50" i="30" s="1"/>
  <c r="N52" i="30"/>
  <c r="V39" i="30"/>
  <c r="N39" i="30"/>
  <c r="J47" i="30"/>
  <c r="N10" i="30"/>
  <c r="N46" i="30"/>
  <c r="N53" i="30"/>
  <c r="N4" i="30"/>
  <c r="J26" i="30"/>
  <c r="N26" i="30" s="1"/>
  <c r="N40" i="30"/>
  <c r="N60" i="30"/>
  <c r="N35" i="30"/>
  <c r="N8" i="30"/>
  <c r="J30" i="30"/>
  <c r="N30" i="30" s="1"/>
  <c r="N44" i="30"/>
  <c r="J54" i="30"/>
  <c r="N31" i="30"/>
  <c r="N54" i="30"/>
  <c r="N3" i="30"/>
  <c r="N11" i="30"/>
  <c r="N47" i="30"/>
  <c r="N61" i="30"/>
  <c r="N24" i="30"/>
  <c r="J6" i="30"/>
  <c r="N6" i="30" s="1"/>
  <c r="J42" i="30"/>
  <c r="N56" i="30"/>
  <c r="J35" i="30"/>
  <c r="N42" i="30"/>
  <c r="N13" i="30"/>
  <c r="J2" i="30"/>
  <c r="N2" i="30" s="1"/>
  <c r="N7" i="30"/>
  <c r="V15" i="30"/>
  <c r="N15" i="30"/>
  <c r="J23" i="30"/>
  <c r="N23" i="30" s="1"/>
  <c r="N43" i="30"/>
  <c r="V51" i="30"/>
  <c r="N51" i="30"/>
  <c r="J59" i="30"/>
  <c r="J16" i="30"/>
  <c r="N16" i="30" s="1"/>
  <c r="V20" i="30"/>
  <c r="N37" i="30"/>
  <c r="J52" i="30"/>
  <c r="V56" i="30"/>
  <c r="N59" i="30"/>
  <c r="V48" i="28"/>
  <c r="V63" i="28"/>
  <c r="W63" i="28" s="1"/>
  <c r="X63" i="28" s="1"/>
  <c r="Y63" i="28" s="1"/>
  <c r="V70" i="28"/>
  <c r="V25" i="28"/>
  <c r="V32" i="28"/>
  <c r="V47" i="28"/>
  <c r="V78" i="28"/>
  <c r="V39" i="28"/>
  <c r="V54" i="28"/>
  <c r="V15" i="28"/>
  <c r="V77" i="28"/>
  <c r="V8" i="28"/>
  <c r="V22" i="28"/>
  <c r="V68" i="28"/>
  <c r="V30" i="28"/>
  <c r="V37" i="28"/>
  <c r="V59" i="28"/>
  <c r="W59" i="28" s="1"/>
  <c r="X59" i="28" s="1"/>
  <c r="Y59" i="28" s="1"/>
  <c r="V13" i="28"/>
  <c r="V29" i="28"/>
  <c r="N33" i="28"/>
  <c r="W33" i="28" s="1"/>
  <c r="V44" i="28"/>
  <c r="J7" i="28"/>
  <c r="V31" i="28"/>
  <c r="V71" i="28"/>
  <c r="N71" i="28"/>
  <c r="V72" i="28"/>
  <c r="N72" i="28"/>
  <c r="N7" i="28"/>
  <c r="V7" i="28"/>
  <c r="N60" i="28"/>
  <c r="J80" i="28"/>
  <c r="N80" i="28" s="1"/>
  <c r="N17" i="28"/>
  <c r="V17" i="28"/>
  <c r="J36" i="28"/>
  <c r="N36" i="28" s="1"/>
  <c r="N46" i="28"/>
  <c r="V46" i="28"/>
  <c r="V45" i="28"/>
  <c r="N45" i="28"/>
  <c r="V2" i="28"/>
  <c r="N35" i="28"/>
  <c r="J10" i="28"/>
  <c r="N10" i="28" s="1"/>
  <c r="V23" i="28"/>
  <c r="N23" i="28"/>
  <c r="J58" i="28"/>
  <c r="V38" i="28"/>
  <c r="V16" i="28"/>
  <c r="N16" i="28"/>
  <c r="V79" i="28"/>
  <c r="N79" i="28"/>
  <c r="J43" i="28"/>
  <c r="N43" i="28" s="1"/>
  <c r="V24" i="28"/>
  <c r="N24" i="28"/>
  <c r="J32" i="28"/>
  <c r="N32" i="28" s="1"/>
  <c r="V64" i="28"/>
  <c r="N64" i="28"/>
  <c r="J25" i="28"/>
  <c r="N25" i="28" s="1"/>
  <c r="N65" i="28"/>
  <c r="N3" i="28"/>
  <c r="J41" i="28"/>
  <c r="N41" i="28" s="1"/>
  <c r="J73" i="28"/>
  <c r="N73" i="28" s="1"/>
  <c r="J19" i="28"/>
  <c r="N19" i="28" s="1"/>
  <c r="J26" i="28"/>
  <c r="N26" i="28" s="1"/>
  <c r="J49" i="28"/>
  <c r="N49" i="28" s="1"/>
  <c r="J67" i="28"/>
  <c r="N67" i="28" s="1"/>
  <c r="J12" i="28"/>
  <c r="N12" i="28" s="1"/>
  <c r="N34" i="28"/>
  <c r="V34" i="28"/>
  <c r="N27" i="28"/>
  <c r="V28" i="28"/>
  <c r="N28" i="28"/>
  <c r="J6" i="28"/>
  <c r="N6" i="28" s="1"/>
  <c r="J77" i="28"/>
  <c r="N77" i="28" s="1"/>
  <c r="V21" i="28"/>
  <c r="V76" i="28"/>
  <c r="J54" i="28"/>
  <c r="N54" i="28" s="1"/>
  <c r="J62" i="28"/>
  <c r="N62" i="28" s="1"/>
  <c r="N39" i="28"/>
  <c r="J48" i="28"/>
  <c r="N48" i="28" s="1"/>
  <c r="J18" i="28"/>
  <c r="N18" i="28" s="1"/>
  <c r="J40" i="28"/>
  <c r="N40" i="28" s="1"/>
  <c r="N47" i="28"/>
  <c r="J81" i="28"/>
  <c r="N81" i="28" s="1"/>
  <c r="N57" i="28"/>
  <c r="J68" i="28"/>
  <c r="N68" i="28" s="1"/>
  <c r="J5" i="28"/>
  <c r="N5" i="28" s="1"/>
  <c r="J20" i="28"/>
  <c r="N20" i="28" s="1"/>
  <c r="V50" i="28"/>
  <c r="N82" i="28"/>
  <c r="V82" i="28"/>
  <c r="J13" i="28"/>
  <c r="N13" i="28" s="1"/>
  <c r="N42" i="28"/>
  <c r="J51" i="28"/>
  <c r="J61" i="28"/>
  <c r="N61" i="28" s="1"/>
  <c r="V60" i="28"/>
  <c r="V65" i="28"/>
  <c r="N74" i="28"/>
  <c r="V3" i="28"/>
  <c r="J22" i="28"/>
  <c r="N22" i="28" s="1"/>
  <c r="J70" i="28"/>
  <c r="N70" i="28" s="1"/>
  <c r="V10" i="28"/>
  <c r="J15" i="28"/>
  <c r="N15" i="28" s="1"/>
  <c r="V52" i="28"/>
  <c r="W52" i="28" s="1"/>
  <c r="X52" i="28" s="1"/>
  <c r="Y52" i="28" s="1"/>
  <c r="V53" i="28"/>
  <c r="J55" i="28"/>
  <c r="N55" i="28" s="1"/>
  <c r="J66" i="28"/>
  <c r="N66" i="28" s="1"/>
  <c r="N14" i="28"/>
  <c r="J37" i="28"/>
  <c r="N37" i="28" s="1"/>
  <c r="V40" i="28"/>
  <c r="N51" i="28"/>
  <c r="N69" i="28"/>
  <c r="N58" i="28"/>
  <c r="J44" i="28"/>
  <c r="N44" i="28" s="1"/>
  <c r="J8" i="28"/>
  <c r="N8" i="28" s="1"/>
  <c r="J78" i="28"/>
  <c r="N78" i="28" s="1"/>
  <c r="N39" i="27"/>
  <c r="V51" i="27"/>
  <c r="W51" i="27" s="1"/>
  <c r="X51" i="27" s="1"/>
  <c r="Y51" i="27" s="1"/>
  <c r="V70" i="27"/>
  <c r="V7" i="27"/>
  <c r="V60" i="27"/>
  <c r="V14" i="27"/>
  <c r="V31" i="27"/>
  <c r="V58" i="27"/>
  <c r="V75" i="27"/>
  <c r="W75" i="27" s="1"/>
  <c r="X75" i="27" s="1"/>
  <c r="Y75" i="27" s="1"/>
  <c r="V5" i="27"/>
  <c r="W5" i="27" s="1"/>
  <c r="X5" i="27" s="1"/>
  <c r="Y5" i="27" s="1"/>
  <c r="V22" i="27"/>
  <c r="V38" i="27"/>
  <c r="N51" i="27"/>
  <c r="N77" i="27"/>
  <c r="N63" i="27"/>
  <c r="V74" i="27"/>
  <c r="V82" i="27"/>
  <c r="V41" i="27"/>
  <c r="V77" i="27"/>
  <c r="V15" i="27"/>
  <c r="W15" i="27" s="1"/>
  <c r="X15" i="27" s="1"/>
  <c r="Y15" i="27" s="1"/>
  <c r="V39" i="27"/>
  <c r="N56" i="27"/>
  <c r="W56" i="27" s="1"/>
  <c r="V12" i="27"/>
  <c r="V29" i="27"/>
  <c r="V55" i="27"/>
  <c r="V65" i="27"/>
  <c r="W65" i="27" s="1"/>
  <c r="X65" i="27" s="1"/>
  <c r="Y65" i="27" s="1"/>
  <c r="V61" i="27"/>
  <c r="N61" i="27"/>
  <c r="W3" i="27"/>
  <c r="X3" i="27" s="1"/>
  <c r="Y3" i="27" s="1"/>
  <c r="J2" i="27"/>
  <c r="N2" i="27" s="1"/>
  <c r="J43" i="27"/>
  <c r="N43" i="27" s="1"/>
  <c r="V18" i="27"/>
  <c r="N60" i="27"/>
  <c r="J4" i="27"/>
  <c r="N4" i="27" s="1"/>
  <c r="J23" i="27"/>
  <c r="N23" i="27" s="1"/>
  <c r="V59" i="27"/>
  <c r="N59" i="27"/>
  <c r="V20" i="27"/>
  <c r="N20" i="27"/>
  <c r="J24" i="27"/>
  <c r="N24" i="27" s="1"/>
  <c r="V47" i="27"/>
  <c r="N80" i="27"/>
  <c r="J7" i="27"/>
  <c r="N7" i="27" s="1"/>
  <c r="N67" i="27"/>
  <c r="J76" i="27"/>
  <c r="N76" i="27" s="1"/>
  <c r="J9" i="27"/>
  <c r="N9" i="27" s="1"/>
  <c r="J50" i="27"/>
  <c r="N50" i="27" s="1"/>
  <c r="V78" i="27"/>
  <c r="N25" i="27"/>
  <c r="N73" i="27"/>
  <c r="V73" i="27"/>
  <c r="J10" i="27"/>
  <c r="N10" i="27" s="1"/>
  <c r="N8" i="27"/>
  <c r="J12" i="27"/>
  <c r="N12" i="27" s="1"/>
  <c r="J14" i="27"/>
  <c r="N14" i="27" s="1"/>
  <c r="J55" i="27"/>
  <c r="N55" i="27" s="1"/>
  <c r="V11" i="27"/>
  <c r="J34" i="27"/>
  <c r="N34" i="27" s="1"/>
  <c r="V54" i="27"/>
  <c r="J57" i="27"/>
  <c r="N57" i="27" s="1"/>
  <c r="J45" i="27"/>
  <c r="N45" i="27"/>
  <c r="J79" i="27"/>
  <c r="N79" i="27" s="1"/>
  <c r="J46" i="27"/>
  <c r="N46" i="27" s="1"/>
  <c r="N66" i="27"/>
  <c r="V66" i="27"/>
  <c r="J74" i="27"/>
  <c r="N74" i="27" s="1"/>
  <c r="N6" i="27"/>
  <c r="V6" i="27"/>
  <c r="J48" i="27"/>
  <c r="J70" i="27"/>
  <c r="N70" i="27" s="1"/>
  <c r="N48" i="27"/>
  <c r="J72" i="27"/>
  <c r="N72" i="27" s="1"/>
  <c r="J33" i="27"/>
  <c r="N33" i="27" s="1"/>
  <c r="J22" i="27"/>
  <c r="N22" i="27" s="1"/>
  <c r="V42" i="27"/>
  <c r="N42" i="27"/>
  <c r="J26" i="27"/>
  <c r="N26" i="27" s="1"/>
  <c r="J67" i="27"/>
  <c r="J81" i="27"/>
  <c r="N81" i="27" s="1"/>
  <c r="V23" i="27"/>
  <c r="W29" i="27"/>
  <c r="X29" i="27" s="1"/>
  <c r="Y29" i="27" s="1"/>
  <c r="J69" i="27"/>
  <c r="N69" i="27" s="1"/>
  <c r="J82" i="27"/>
  <c r="N82" i="27" s="1"/>
  <c r="N44" i="27"/>
  <c r="J31" i="27"/>
  <c r="N31" i="27" s="1"/>
  <c r="V30" i="27"/>
  <c r="N68" i="27"/>
  <c r="N49" i="27"/>
  <c r="N32" i="27"/>
  <c r="J36" i="27"/>
  <c r="N36" i="27" s="1"/>
  <c r="J38" i="27"/>
  <c r="N38" i="27" s="1"/>
  <c r="N13" i="27"/>
  <c r="J19" i="27"/>
  <c r="N19" i="27" s="1"/>
  <c r="V35" i="27"/>
  <c r="J58" i="27"/>
  <c r="N58" i="27" s="1"/>
  <c r="N16" i="27"/>
  <c r="N40" i="27"/>
  <c r="N52" i="27"/>
  <c r="W33" i="30" l="1"/>
  <c r="X33" i="30" s="1"/>
  <c r="Y33" i="30" s="1"/>
  <c r="W63" i="27"/>
  <c r="X63" i="27" s="1"/>
  <c r="Y63" i="27" s="1"/>
  <c r="W39" i="27"/>
  <c r="X39" i="27" s="1"/>
  <c r="Y39" i="27" s="1"/>
  <c r="W77" i="27"/>
  <c r="X77" i="27" s="1"/>
  <c r="Y77" i="27" s="1"/>
  <c r="W41" i="27"/>
  <c r="X41" i="27" s="1"/>
  <c r="Y41" i="27" s="1"/>
  <c r="W49" i="30"/>
  <c r="X49" i="30" s="1"/>
  <c r="Y49" i="30" s="1"/>
  <c r="W16" i="30"/>
  <c r="X16" i="30" s="1"/>
  <c r="Y16" i="30" s="1"/>
  <c r="W30" i="30"/>
  <c r="X30" i="30"/>
  <c r="Y30" i="30" s="1"/>
  <c r="Y29" i="30"/>
  <c r="W6" i="30"/>
  <c r="X6" i="30" s="1"/>
  <c r="Y6" i="30" s="1"/>
  <c r="W18" i="30"/>
  <c r="X18" i="30" s="1"/>
  <c r="Y18" i="30" s="1"/>
  <c r="W23" i="30"/>
  <c r="X23" i="30" s="1"/>
  <c r="Y23" i="30" s="1"/>
  <c r="W24" i="30"/>
  <c r="X24" i="30" s="1"/>
  <c r="Y24" i="30" s="1"/>
  <c r="W15" i="30"/>
  <c r="X15" i="30"/>
  <c r="Y15" i="30" s="1"/>
  <c r="W8" i="30"/>
  <c r="X8" i="30"/>
  <c r="Y8" i="30" s="1"/>
  <c r="W35" i="30"/>
  <c r="X35" i="30" s="1"/>
  <c r="Y35" i="30" s="1"/>
  <c r="W32" i="30"/>
  <c r="X32" i="30" s="1"/>
  <c r="Y32" i="30" s="1"/>
  <c r="W37" i="30"/>
  <c r="X37" i="30" s="1"/>
  <c r="Y37" i="30" s="1"/>
  <c r="W11" i="30"/>
  <c r="X11" i="30" s="1"/>
  <c r="Y11" i="30" s="1"/>
  <c r="W40" i="30"/>
  <c r="X40" i="30" s="1"/>
  <c r="Y40" i="30" s="1"/>
  <c r="W26" i="30"/>
  <c r="X26" i="30" s="1"/>
  <c r="Y26" i="30" s="1"/>
  <c r="W20" i="30"/>
  <c r="X20" i="30" s="1"/>
  <c r="Y20" i="30" s="1"/>
  <c r="W42" i="30"/>
  <c r="X42" i="30" s="1"/>
  <c r="Y42" i="30" s="1"/>
  <c r="W4" i="30"/>
  <c r="X4" i="30" s="1"/>
  <c r="Y4" i="30" s="1"/>
  <c r="W51" i="30"/>
  <c r="X51" i="30" s="1"/>
  <c r="Y51" i="30" s="1"/>
  <c r="W46" i="30"/>
  <c r="X46" i="30"/>
  <c r="Y46" i="30" s="1"/>
  <c r="W41" i="30"/>
  <c r="X41" i="30" s="1"/>
  <c r="Y41" i="30" s="1"/>
  <c r="W25" i="30"/>
  <c r="X25" i="30" s="1"/>
  <c r="Y25" i="30" s="1"/>
  <c r="W5" i="30"/>
  <c r="X5" i="30" s="1"/>
  <c r="Y5" i="30" s="1"/>
  <c r="W61" i="30"/>
  <c r="X61" i="30" s="1"/>
  <c r="Y61" i="30" s="1"/>
  <c r="W55" i="30"/>
  <c r="X55" i="30" s="1"/>
  <c r="Y55" i="30" s="1"/>
  <c r="W50" i="30"/>
  <c r="X50" i="30" s="1"/>
  <c r="Y50" i="30" s="1"/>
  <c r="W27" i="30"/>
  <c r="X27" i="30" s="1"/>
  <c r="Y27" i="30" s="1"/>
  <c r="W3" i="30"/>
  <c r="X3" i="30" s="1"/>
  <c r="Y3" i="30" s="1"/>
  <c r="W28" i="30"/>
  <c r="X28" i="30" s="1"/>
  <c r="Y28" i="30" s="1"/>
  <c r="W19" i="30"/>
  <c r="X19" i="30" s="1"/>
  <c r="Y19" i="30" s="1"/>
  <c r="W13" i="30"/>
  <c r="X13" i="30" s="1"/>
  <c r="Y13" i="30" s="1"/>
  <c r="W14" i="30"/>
  <c r="X14" i="30" s="1"/>
  <c r="Y14" i="30" s="1"/>
  <c r="W62" i="30"/>
  <c r="X62" i="30" s="1"/>
  <c r="Y62" i="30" s="1"/>
  <c r="W53" i="30"/>
  <c r="X53" i="30" s="1"/>
  <c r="Y53" i="30" s="1"/>
  <c r="W56" i="30"/>
  <c r="X56" i="30" s="1"/>
  <c r="Y56" i="30" s="1"/>
  <c r="W10" i="30"/>
  <c r="X10" i="30" s="1"/>
  <c r="Y10" i="30" s="1"/>
  <c r="W34" i="30"/>
  <c r="X34" i="30"/>
  <c r="Y34" i="30" s="1"/>
  <c r="W17" i="30"/>
  <c r="X17" i="30" s="1"/>
  <c r="Y17" i="30" s="1"/>
  <c r="W59" i="30"/>
  <c r="X59" i="30" s="1"/>
  <c r="Y59" i="30" s="1"/>
  <c r="W47" i="30"/>
  <c r="X47" i="30" s="1"/>
  <c r="Y47" i="30" s="1"/>
  <c r="W7" i="30"/>
  <c r="X7" i="30" s="1"/>
  <c r="Y7" i="30" s="1"/>
  <c r="W60" i="30"/>
  <c r="X60" i="30" s="1"/>
  <c r="Y60" i="30" s="1"/>
  <c r="W2" i="30"/>
  <c r="X2" i="30" s="1"/>
  <c r="Y2" i="30" s="1"/>
  <c r="W54" i="30"/>
  <c r="X54" i="30" s="1"/>
  <c r="Y54" i="30" s="1"/>
  <c r="W31" i="30"/>
  <c r="X31" i="30" s="1"/>
  <c r="W12" i="30"/>
  <c r="X12" i="30" s="1"/>
  <c r="Y12" i="30" s="1"/>
  <c r="W43" i="30"/>
  <c r="X43" i="30" s="1"/>
  <c r="Y43" i="30" s="1"/>
  <c r="W52" i="30"/>
  <c r="X52" i="30" s="1"/>
  <c r="Y52" i="30" s="1"/>
  <c r="W48" i="30"/>
  <c r="X48" i="30" s="1"/>
  <c r="Y48" i="30" s="1"/>
  <c r="W44" i="30"/>
  <c r="X44" i="30"/>
  <c r="Y44" i="30" s="1"/>
  <c r="W39" i="30"/>
  <c r="X39" i="30" s="1"/>
  <c r="Y39" i="30" s="1"/>
  <c r="X33" i="28"/>
  <c r="Y33" i="28" s="1"/>
  <c r="W70" i="28"/>
  <c r="X70" i="28" s="1"/>
  <c r="Y70" i="28" s="1"/>
  <c r="W22" i="28"/>
  <c r="X22" i="28" s="1"/>
  <c r="Y22" i="28" s="1"/>
  <c r="W18" i="28"/>
  <c r="X18" i="28" s="1"/>
  <c r="Y18" i="28" s="1"/>
  <c r="W66" i="28"/>
  <c r="X66" i="28" s="1"/>
  <c r="Y66" i="28" s="1"/>
  <c r="W55" i="28"/>
  <c r="X55" i="28" s="1"/>
  <c r="Y55" i="28" s="1"/>
  <c r="W36" i="28"/>
  <c r="X36" i="28" s="1"/>
  <c r="Y36" i="28" s="1"/>
  <c r="W67" i="28"/>
  <c r="X67" i="28" s="1"/>
  <c r="Y67" i="28" s="1"/>
  <c r="W43" i="28"/>
  <c r="X43" i="28" s="1"/>
  <c r="Y43" i="28" s="1"/>
  <c r="W6" i="28"/>
  <c r="X6" i="28" s="1"/>
  <c r="Y6" i="28" s="1"/>
  <c r="W10" i="28"/>
  <c r="X10" i="28" s="1"/>
  <c r="Y10" i="28" s="1"/>
  <c r="W41" i="28"/>
  <c r="X41" i="28" s="1"/>
  <c r="Y41" i="28" s="1"/>
  <c r="W74" i="28"/>
  <c r="X74" i="28" s="1"/>
  <c r="Y74" i="28" s="1"/>
  <c r="W16" i="28"/>
  <c r="X16" i="28" s="1"/>
  <c r="Y16" i="28" s="1"/>
  <c r="W23" i="28"/>
  <c r="X23" i="28" s="1"/>
  <c r="Y23" i="28" s="1"/>
  <c r="W34" i="28"/>
  <c r="X34" i="28" s="1"/>
  <c r="Y34" i="28" s="1"/>
  <c r="W82" i="28"/>
  <c r="X82" i="28" s="1"/>
  <c r="Y82" i="28" s="1"/>
  <c r="W21" i="28"/>
  <c r="X21" i="28" s="1"/>
  <c r="Y21" i="28" s="1"/>
  <c r="W15" i="28"/>
  <c r="X15" i="28" s="1"/>
  <c r="Y15" i="28" s="1"/>
  <c r="W77" i="28"/>
  <c r="X77" i="28" s="1"/>
  <c r="Y77" i="28" s="1"/>
  <c r="W81" i="28"/>
  <c r="X81" i="28" s="1"/>
  <c r="Y81" i="28" s="1"/>
  <c r="W3" i="28"/>
  <c r="X3" i="28" s="1"/>
  <c r="Y3" i="28" s="1"/>
  <c r="W47" i="28"/>
  <c r="X47" i="28"/>
  <c r="Y47" i="28" s="1"/>
  <c r="W46" i="28"/>
  <c r="X46" i="28" s="1"/>
  <c r="Y46" i="28" s="1"/>
  <c r="W58" i="28"/>
  <c r="X58" i="28" s="1"/>
  <c r="Y58" i="28" s="1"/>
  <c r="W40" i="28"/>
  <c r="X40" i="28" s="1"/>
  <c r="Y40" i="28" s="1"/>
  <c r="W9" i="28"/>
  <c r="X9" i="28" s="1"/>
  <c r="Y9" i="28" s="1"/>
  <c r="W5" i="28"/>
  <c r="X5" i="28" s="1"/>
  <c r="Y5" i="28" s="1"/>
  <c r="W38" i="28"/>
  <c r="X38" i="28" s="1"/>
  <c r="Y38" i="28" s="1"/>
  <c r="W48" i="28"/>
  <c r="X48" i="28" s="1"/>
  <c r="Y48" i="28" s="1"/>
  <c r="W25" i="28"/>
  <c r="X25" i="28" s="1"/>
  <c r="Y25" i="28" s="1"/>
  <c r="W17" i="28"/>
  <c r="X17" i="28"/>
  <c r="Y17" i="28" s="1"/>
  <c r="W69" i="28"/>
  <c r="X69" i="28"/>
  <c r="Y69" i="28" s="1"/>
  <c r="W28" i="28"/>
  <c r="X28" i="28" s="1"/>
  <c r="Y28" i="28" s="1"/>
  <c r="W49" i="28"/>
  <c r="X49" i="28" s="1"/>
  <c r="Y49" i="28" s="1"/>
  <c r="W35" i="28"/>
  <c r="X35" i="28" s="1"/>
  <c r="Y35" i="28" s="1"/>
  <c r="W78" i="28"/>
  <c r="X78" i="28" s="1"/>
  <c r="Y78" i="28" s="1"/>
  <c r="W42" i="28"/>
  <c r="X42" i="28" s="1"/>
  <c r="W57" i="28"/>
  <c r="X57" i="28" s="1"/>
  <c r="Y57" i="28" s="1"/>
  <c r="W27" i="28"/>
  <c r="X27" i="28" s="1"/>
  <c r="Y27" i="28" s="1"/>
  <c r="W26" i="28"/>
  <c r="X26" i="28" s="1"/>
  <c r="Y26" i="28" s="1"/>
  <c r="W64" i="28"/>
  <c r="X64" i="28" s="1"/>
  <c r="Y64" i="28" s="1"/>
  <c r="W2" i="28"/>
  <c r="X2" i="28" s="1"/>
  <c r="Y2" i="28" s="1"/>
  <c r="W80" i="28"/>
  <c r="X80" i="28" s="1"/>
  <c r="Y80" i="28" s="1"/>
  <c r="W37" i="28"/>
  <c r="X37" i="28" s="1"/>
  <c r="Y37" i="28" s="1"/>
  <c r="W13" i="28"/>
  <c r="X13" i="28" s="1"/>
  <c r="Y13" i="28" s="1"/>
  <c r="W19" i="28"/>
  <c r="X19" i="28" s="1"/>
  <c r="Y19" i="28" s="1"/>
  <c r="W79" i="28"/>
  <c r="X79" i="28" s="1"/>
  <c r="Y79" i="28" s="1"/>
  <c r="W60" i="28"/>
  <c r="X60" i="28" s="1"/>
  <c r="Y60" i="28" s="1"/>
  <c r="W8" i="28"/>
  <c r="X8" i="28" s="1"/>
  <c r="Y8" i="28" s="1"/>
  <c r="W14" i="28"/>
  <c r="X14" i="28" s="1"/>
  <c r="Y14" i="28" s="1"/>
  <c r="W73" i="28"/>
  <c r="X73" i="28" s="1"/>
  <c r="Y73" i="28" s="1"/>
  <c r="W12" i="28"/>
  <c r="X12" i="28" s="1"/>
  <c r="Y12" i="28" s="1"/>
  <c r="W7" i="28"/>
  <c r="X7" i="28" s="1"/>
  <c r="Y7" i="28" s="1"/>
  <c r="W24" i="28"/>
  <c r="X24" i="28"/>
  <c r="Y24" i="28" s="1"/>
  <c r="W72" i="28"/>
  <c r="X72" i="28" s="1"/>
  <c r="Y72" i="28" s="1"/>
  <c r="W29" i="28"/>
  <c r="X29" i="28" s="1"/>
  <c r="Y29" i="28" s="1"/>
  <c r="W50" i="28"/>
  <c r="X50" i="28" s="1"/>
  <c r="Y50" i="28" s="1"/>
  <c r="W4" i="28"/>
  <c r="X4" i="28" s="1"/>
  <c r="Y4" i="28" s="1"/>
  <c r="W44" i="28"/>
  <c r="X44" i="28" s="1"/>
  <c r="Y44" i="28" s="1"/>
  <c r="W71" i="28"/>
  <c r="X71" i="28"/>
  <c r="Y71" i="28" s="1"/>
  <c r="W54" i="28"/>
  <c r="X54" i="28" s="1"/>
  <c r="Y54" i="28" s="1"/>
  <c r="W20" i="28"/>
  <c r="X20" i="28"/>
  <c r="Y20" i="28" s="1"/>
  <c r="W75" i="28"/>
  <c r="X75" i="28" s="1"/>
  <c r="Y75" i="28" s="1"/>
  <c r="W65" i="28"/>
  <c r="X65" i="28" s="1"/>
  <c r="Y65" i="28" s="1"/>
  <c r="W53" i="28"/>
  <c r="X53" i="28" s="1"/>
  <c r="Y53" i="28" s="1"/>
  <c r="W68" i="28"/>
  <c r="X68" i="28" s="1"/>
  <c r="Y68" i="28" s="1"/>
  <c r="W61" i="28"/>
  <c r="X61" i="28" s="1"/>
  <c r="Y61" i="28" s="1"/>
  <c r="W39" i="28"/>
  <c r="X39" i="28" s="1"/>
  <c r="Y39" i="28" s="1"/>
  <c r="W31" i="28"/>
  <c r="X31" i="28" s="1"/>
  <c r="Y31" i="28" s="1"/>
  <c r="W51" i="28"/>
  <c r="X51" i="28" s="1"/>
  <c r="Y51" i="28" s="1"/>
  <c r="W62" i="28"/>
  <c r="X62" i="28" s="1"/>
  <c r="Y62" i="28" s="1"/>
  <c r="W76" i="28"/>
  <c r="X76" i="28" s="1"/>
  <c r="Y76" i="28" s="1"/>
  <c r="W32" i="28"/>
  <c r="X32" i="28" s="1"/>
  <c r="Y32" i="28" s="1"/>
  <c r="W45" i="28"/>
  <c r="X45" i="28"/>
  <c r="Y45" i="28" s="1"/>
  <c r="X56" i="27"/>
  <c r="Y56" i="27" s="1"/>
  <c r="W76" i="27"/>
  <c r="X76" i="27" s="1"/>
  <c r="Y76" i="27" s="1"/>
  <c r="W23" i="27"/>
  <c r="X23" i="27"/>
  <c r="Y23" i="27" s="1"/>
  <c r="W43" i="27"/>
  <c r="X43" i="27" s="1"/>
  <c r="Y43" i="27" s="1"/>
  <c r="W57" i="27"/>
  <c r="X57" i="27" s="1"/>
  <c r="W7" i="27"/>
  <c r="X7" i="27" s="1"/>
  <c r="Y7" i="27" s="1"/>
  <c r="W4" i="27"/>
  <c r="X4" i="27" s="1"/>
  <c r="Y4" i="27" s="1"/>
  <c r="W31" i="27"/>
  <c r="X31" i="27" s="1"/>
  <c r="Y31" i="27" s="1"/>
  <c r="W81" i="27"/>
  <c r="X81" i="27" s="1"/>
  <c r="Y81" i="27" s="1"/>
  <c r="W55" i="27"/>
  <c r="X55" i="27" s="1"/>
  <c r="Y55" i="27" s="1"/>
  <c r="W69" i="27"/>
  <c r="X69" i="27" s="1"/>
  <c r="Y69" i="27" s="1"/>
  <c r="W71" i="27"/>
  <c r="X71" i="27"/>
  <c r="Y71" i="27" s="1"/>
  <c r="W22" i="27"/>
  <c r="X22" i="27" s="1"/>
  <c r="Y22" i="27" s="1"/>
  <c r="W67" i="27"/>
  <c r="X67" i="27" s="1"/>
  <c r="Y67" i="27" s="1"/>
  <c r="W47" i="27"/>
  <c r="X47" i="27" s="1"/>
  <c r="Y47" i="27" s="1"/>
  <c r="W32" i="27"/>
  <c r="X32" i="27"/>
  <c r="Y32" i="27" s="1"/>
  <c r="W34" i="27"/>
  <c r="X34" i="27" s="1"/>
  <c r="Y34" i="27" s="1"/>
  <c r="W49" i="27"/>
  <c r="X49" i="27" s="1"/>
  <c r="Y49" i="27" s="1"/>
  <c r="W79" i="27"/>
  <c r="X79" i="27" s="1"/>
  <c r="Y79" i="27" s="1"/>
  <c r="W46" i="27"/>
  <c r="X46" i="27" s="1"/>
  <c r="Y46" i="27" s="1"/>
  <c r="W68" i="27"/>
  <c r="X68" i="27" s="1"/>
  <c r="Y68" i="27" s="1"/>
  <c r="W24" i="27"/>
  <c r="X24" i="27"/>
  <c r="Y24" i="27" s="1"/>
  <c r="W64" i="27"/>
  <c r="X64" i="27" s="1"/>
  <c r="Y64" i="27" s="1"/>
  <c r="W30" i="27"/>
  <c r="X30" i="27" s="1"/>
  <c r="Y30" i="27" s="1"/>
  <c r="W9" i="27"/>
  <c r="X9" i="27" s="1"/>
  <c r="Y9" i="27" s="1"/>
  <c r="W52" i="27"/>
  <c r="X52" i="27"/>
  <c r="Y52" i="27" s="1"/>
  <c r="W45" i="27"/>
  <c r="X45" i="27" s="1"/>
  <c r="Y45" i="27" s="1"/>
  <c r="W21" i="27"/>
  <c r="X21" i="27"/>
  <c r="Y21" i="27" s="1"/>
  <c r="W40" i="27"/>
  <c r="X40" i="27" s="1"/>
  <c r="Y40" i="27" s="1"/>
  <c r="W14" i="27"/>
  <c r="X14" i="27" s="1"/>
  <c r="Y14" i="27" s="1"/>
  <c r="W2" i="27"/>
  <c r="X2" i="27" s="1"/>
  <c r="Y2" i="27" s="1"/>
  <c r="W13" i="27"/>
  <c r="X13" i="27" s="1"/>
  <c r="Y13" i="27" s="1"/>
  <c r="W16" i="27"/>
  <c r="X16" i="27" s="1"/>
  <c r="Y16" i="27" s="1"/>
  <c r="W8" i="27"/>
  <c r="X8" i="27" s="1"/>
  <c r="Y8" i="27" s="1"/>
  <c r="W58" i="27"/>
  <c r="X58" i="27" s="1"/>
  <c r="Y58" i="27" s="1"/>
  <c r="W59" i="27"/>
  <c r="X59" i="27"/>
  <c r="Y59" i="27" s="1"/>
  <c r="W33" i="27"/>
  <c r="X33" i="27" s="1"/>
  <c r="Y33" i="27" s="1"/>
  <c r="W66" i="27"/>
  <c r="X66" i="27" s="1"/>
  <c r="Y66" i="27" s="1"/>
  <c r="W72" i="27"/>
  <c r="X72" i="27" s="1"/>
  <c r="Y72" i="27" s="1"/>
  <c r="W60" i="27"/>
  <c r="X60" i="27"/>
  <c r="Y60" i="27" s="1"/>
  <c r="W38" i="27"/>
  <c r="X38" i="27" s="1"/>
  <c r="Y38" i="27" s="1"/>
  <c r="W74" i="27"/>
  <c r="X74" i="27" s="1"/>
  <c r="Y74" i="27" s="1"/>
  <c r="W18" i="27"/>
  <c r="X18" i="27" s="1"/>
  <c r="Y18" i="27" s="1"/>
  <c r="W82" i="27"/>
  <c r="X82" i="27" s="1"/>
  <c r="Y82" i="27" s="1"/>
  <c r="W73" i="27"/>
  <c r="X73" i="27" s="1"/>
  <c r="Y73" i="27" s="1"/>
  <c r="W12" i="27"/>
  <c r="X12" i="27" s="1"/>
  <c r="Y12" i="27" s="1"/>
  <c r="W36" i="27"/>
  <c r="X36" i="27" s="1"/>
  <c r="Y36" i="27" s="1"/>
  <c r="W11" i="27"/>
  <c r="X11" i="27"/>
  <c r="Y11" i="27" s="1"/>
  <c r="W25" i="27"/>
  <c r="X25" i="27" s="1"/>
  <c r="Y25" i="27" s="1"/>
  <c r="W19" i="27"/>
  <c r="X19" i="27" s="1"/>
  <c r="Y19" i="27" s="1"/>
  <c r="W35" i="27"/>
  <c r="X35" i="27"/>
  <c r="Y35" i="27" s="1"/>
  <c r="W80" i="27"/>
  <c r="X80" i="27" s="1"/>
  <c r="Y80" i="27" s="1"/>
  <c r="W78" i="27"/>
  <c r="X78" i="27" s="1"/>
  <c r="Y78" i="27" s="1"/>
  <c r="W61" i="27"/>
  <c r="X61" i="27" s="1"/>
  <c r="Y61" i="27" s="1"/>
  <c r="W48" i="27"/>
  <c r="X48" i="27" s="1"/>
  <c r="Y48" i="27" s="1"/>
  <c r="W28" i="27"/>
  <c r="X28" i="27" s="1"/>
  <c r="Y28" i="27" s="1"/>
  <c r="W70" i="27"/>
  <c r="X70" i="27" s="1"/>
  <c r="Y70" i="27" s="1"/>
  <c r="W50" i="27"/>
  <c r="X50" i="27" s="1"/>
  <c r="Y50" i="27" s="1"/>
  <c r="W44" i="27"/>
  <c r="X44" i="27" s="1"/>
  <c r="Y44" i="27" s="1"/>
  <c r="W26" i="27"/>
  <c r="X26" i="27"/>
  <c r="Y26" i="27" s="1"/>
  <c r="W42" i="27"/>
  <c r="X42" i="27" s="1"/>
  <c r="Y42" i="27" s="1"/>
  <c r="W6" i="27"/>
  <c r="X6" i="27" s="1"/>
  <c r="Y6" i="27" s="1"/>
  <c r="W54" i="27"/>
  <c r="X54" i="27" s="1"/>
  <c r="Y54" i="27" s="1"/>
  <c r="W10" i="27"/>
  <c r="X10" i="27" s="1"/>
  <c r="Y10" i="27" s="1"/>
  <c r="W20" i="27"/>
  <c r="X20" i="27" s="1"/>
  <c r="Y20" i="27" s="1"/>
  <c r="Y31" i="30" l="1"/>
  <c r="Y42" i="28"/>
  <c r="Y57" i="27"/>
</calcChain>
</file>

<file path=xl/sharedStrings.xml><?xml version="1.0" encoding="utf-8"?>
<sst xmlns="http://schemas.openxmlformats.org/spreadsheetml/2006/main" count="125" uniqueCount="33">
  <si>
    <t>Sweep gas flow rate Q (std. m3/s)</t>
  </si>
  <si>
    <t>Sweep gas flow rate Ar equivalent (std. ml/min)</t>
  </si>
  <si>
    <t>Sweep gas flow rate N2 equivalent (std. ml/min)</t>
  </si>
  <si>
    <t>Temp of sweep gas for standard condition (DegC)</t>
  </si>
  <si>
    <t>Pressure of sweep gas for standard condition (kPa-a)</t>
  </si>
  <si>
    <t xml:space="preserve">Measured PPM by GC </t>
  </si>
  <si>
    <t>Time (h)</t>
  </si>
  <si>
    <t>Time (min)</t>
  </si>
  <si>
    <t>mol/s for sweep gas (n)</t>
  </si>
  <si>
    <t xml:space="preserve">Mole fraction of H2 in Ar (C) </t>
  </si>
  <si>
    <t>Temp of sweep gas for standard condition, T (K)</t>
  </si>
  <si>
    <t>Pressure of sweep gas for standard condition, P (Pa)</t>
  </si>
  <si>
    <t>Upstream volume total pressure (bar-g)</t>
  </si>
  <si>
    <t>Downstream total pressure (bar-g)</t>
  </si>
  <si>
    <t>Downstream total pressure (Pa)</t>
  </si>
  <si>
    <r>
      <t>Upstream volume H2 pressure due to partial Ar displacement through dilution purging P</t>
    </r>
    <r>
      <rPr>
        <b/>
        <vertAlign val="subscript"/>
        <sz val="11"/>
        <rFont val="Times New Roman"/>
        <family val="1"/>
      </rPr>
      <t>up</t>
    </r>
    <r>
      <rPr>
        <b/>
        <sz val="11"/>
        <rFont val="Times New Roman"/>
        <family val="1"/>
      </rPr>
      <t>(Pa)</t>
    </r>
  </si>
  <si>
    <r>
      <t>Thickness of salt layer at 600C, 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 xml:space="preserve"> (m)</t>
    </r>
  </si>
  <si>
    <r>
      <t>Thickness of Ni membrane, L</t>
    </r>
    <r>
      <rPr>
        <b/>
        <vertAlign val="subscript"/>
        <sz val="11"/>
        <color rgb="FF00B050"/>
        <rFont val="Times New Roman"/>
        <family val="1"/>
      </rPr>
      <t>Ni</t>
    </r>
    <r>
      <rPr>
        <b/>
        <sz val="11"/>
        <color rgb="FF00B050"/>
        <rFont val="Times New Roman"/>
        <family val="1"/>
      </rPr>
      <t xml:space="preserve"> (m)</t>
    </r>
  </si>
  <si>
    <r>
      <t>Avg. 1D Permeability of Ni membrane at 600C established from dry runs Ø</t>
    </r>
    <r>
      <rPr>
        <b/>
        <sz val="8"/>
        <color rgb="FF00B050"/>
        <rFont val="Times New Roman"/>
        <family val="1"/>
      </rPr>
      <t xml:space="preserve">Ni </t>
    </r>
    <r>
      <rPr>
        <b/>
        <sz val="11"/>
        <color rgb="FF00B050"/>
        <rFont val="Times New Roman"/>
        <family val="1"/>
      </rPr>
      <t>(mol/m.s.Pa^0.5)</t>
    </r>
  </si>
  <si>
    <t>Area of layer, A (m2)</t>
  </si>
  <si>
    <r>
      <t>1D Permeability, Ø</t>
    </r>
    <r>
      <rPr>
        <b/>
        <vertAlign val="subscript"/>
        <sz val="11"/>
        <rFont val="Times New Roman"/>
        <family val="1"/>
      </rPr>
      <t>1D</t>
    </r>
    <r>
      <rPr>
        <b/>
        <sz val="11"/>
        <rFont val="Times New Roman"/>
        <family val="1"/>
      </rPr>
      <t xml:space="preserve"> = J</t>
    </r>
    <r>
      <rPr>
        <b/>
        <vertAlign val="subscript"/>
        <sz val="11"/>
        <rFont val="Times New Roman"/>
        <family val="1"/>
      </rPr>
      <t>eff</t>
    </r>
    <r>
      <rPr>
        <b/>
        <sz val="11"/>
        <rFont val="Times New Roman"/>
        <family val="1"/>
      </rPr>
      <t>.L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>/(P</t>
    </r>
    <r>
      <rPr>
        <b/>
        <vertAlign val="subscript"/>
        <sz val="11"/>
        <rFont val="Times New Roman"/>
        <family val="1"/>
      </rPr>
      <t>interface</t>
    </r>
    <r>
      <rPr>
        <b/>
        <sz val="11"/>
        <rFont val="Times New Roman"/>
        <family val="1"/>
      </rPr>
      <t xml:space="preserve"> - P</t>
    </r>
    <r>
      <rPr>
        <b/>
        <vertAlign val="subscript"/>
        <sz val="11"/>
        <rFont val="Times New Roman"/>
        <family val="1"/>
      </rPr>
      <t>down</t>
    </r>
    <r>
      <rPr>
        <b/>
        <sz val="11"/>
        <rFont val="Times New Roman"/>
        <family val="1"/>
      </rPr>
      <t>)</t>
    </r>
    <r>
      <rPr>
        <b/>
        <sz val="12"/>
        <rFont val="Times New Roman"/>
        <family val="1"/>
      </rPr>
      <t xml:space="preserve"> (H2/m.s.Pa)</t>
    </r>
  </si>
  <si>
    <t>Pressure at Ni-salt interface (Pa)</t>
  </si>
  <si>
    <r>
      <t>Downstream H2 pressure P</t>
    </r>
    <r>
      <rPr>
        <b/>
        <vertAlign val="subscript"/>
        <sz val="11"/>
        <color theme="1"/>
        <rFont val="Times New Roman"/>
        <family val="1"/>
      </rPr>
      <t>down, Ni</t>
    </r>
    <r>
      <rPr>
        <b/>
        <sz val="11"/>
        <color theme="1"/>
        <rFont val="Times New Roman"/>
        <family val="1"/>
      </rPr>
      <t xml:space="preserve"> (Pa)</t>
    </r>
  </si>
  <si>
    <r>
      <t>1D Permeability, Ø</t>
    </r>
    <r>
      <rPr>
        <b/>
        <vertAlign val="subscript"/>
        <sz val="11"/>
        <rFont val="Times New Roman"/>
        <family val="1"/>
      </rPr>
      <t>1D</t>
    </r>
    <r>
      <rPr>
        <b/>
        <sz val="11"/>
        <rFont val="Times New Roman"/>
        <family val="1"/>
      </rPr>
      <t xml:space="preserve"> = J</t>
    </r>
    <r>
      <rPr>
        <b/>
        <vertAlign val="subscript"/>
        <sz val="11"/>
        <rFont val="Times New Roman"/>
        <family val="1"/>
      </rPr>
      <t>eff</t>
    </r>
    <r>
      <rPr>
        <b/>
        <sz val="11"/>
        <rFont val="Times New Roman"/>
        <family val="1"/>
      </rPr>
      <t>.L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>/(P</t>
    </r>
    <r>
      <rPr>
        <b/>
        <vertAlign val="subscript"/>
        <sz val="11"/>
        <rFont val="Times New Roman"/>
        <family val="1"/>
      </rPr>
      <t>up</t>
    </r>
    <r>
      <rPr>
        <b/>
        <sz val="11"/>
        <rFont val="Times New Roman"/>
        <family val="1"/>
      </rPr>
      <t xml:space="preserve"> - P</t>
    </r>
    <r>
      <rPr>
        <b/>
        <vertAlign val="subscript"/>
        <sz val="11"/>
        <rFont val="Times New Roman"/>
        <family val="1"/>
      </rPr>
      <t>interface</t>
    </r>
    <r>
      <rPr>
        <b/>
        <sz val="11"/>
        <rFont val="Times New Roman"/>
        <family val="1"/>
      </rPr>
      <t>)</t>
    </r>
    <r>
      <rPr>
        <b/>
        <sz val="12"/>
        <rFont val="Times New Roman"/>
        <family val="1"/>
      </rPr>
      <t xml:space="preserve"> (mol/m.s.Pa)</t>
    </r>
  </si>
  <si>
    <r>
      <t>Avg. 1D Permeability of Ni membrane at 550C established from dry runs Ø</t>
    </r>
    <r>
      <rPr>
        <b/>
        <sz val="8"/>
        <color rgb="FF00B050"/>
        <rFont val="Times New Roman"/>
        <family val="1"/>
      </rPr>
      <t xml:space="preserve">Ni </t>
    </r>
    <r>
      <rPr>
        <b/>
        <sz val="11"/>
        <color rgb="FF00B050"/>
        <rFont val="Times New Roman"/>
        <family val="1"/>
      </rPr>
      <t>(mol/m.s.Pa^0.5)</t>
    </r>
  </si>
  <si>
    <r>
      <t>Thickness of salt layer at 550C, 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 xml:space="preserve"> (m)</t>
    </r>
  </si>
  <si>
    <t>Measured permeation flux J (mol/m2-s)</t>
  </si>
  <si>
    <r>
      <t>Avg. 1D Permeability of Ni membrane at 500C established from dry runs Ø</t>
    </r>
    <r>
      <rPr>
        <b/>
        <sz val="8"/>
        <color rgb="FF00B050"/>
        <rFont val="Times New Roman"/>
        <family val="1"/>
      </rPr>
      <t xml:space="preserve">Ni </t>
    </r>
    <r>
      <rPr>
        <b/>
        <sz val="11"/>
        <color rgb="FF00B050"/>
        <rFont val="Times New Roman"/>
        <family val="1"/>
      </rPr>
      <t>(mol/m.s.Pa^0.5)</t>
    </r>
  </si>
  <si>
    <r>
      <t>Thickness of salt layer at 500C, 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 xml:space="preserve"> (m)</t>
    </r>
  </si>
  <si>
    <r>
      <t>Avg. 1D Permeability of Ni membrane at 650C established from dry runs Ø</t>
    </r>
    <r>
      <rPr>
        <b/>
        <sz val="8"/>
        <color rgb="FF00B050"/>
        <rFont val="Times New Roman"/>
        <family val="1"/>
      </rPr>
      <t xml:space="preserve">Ni </t>
    </r>
    <r>
      <rPr>
        <b/>
        <sz val="11"/>
        <color rgb="FF00B050"/>
        <rFont val="Times New Roman"/>
        <family val="1"/>
      </rPr>
      <t>(mol/m.s.Pa^0.5)</t>
    </r>
  </si>
  <si>
    <r>
      <t>Thickness of salt layer at 650C, 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 xml:space="preserve"> (m)</t>
    </r>
  </si>
  <si>
    <r>
      <t>Avg. 1D Permeability of Ni membrane at 700C established from dry runs Ø</t>
    </r>
    <r>
      <rPr>
        <b/>
        <sz val="8"/>
        <color rgb="FF00B050"/>
        <rFont val="Times New Roman"/>
        <family val="1"/>
      </rPr>
      <t xml:space="preserve">Ni </t>
    </r>
    <r>
      <rPr>
        <b/>
        <sz val="11"/>
        <color rgb="FF00B050"/>
        <rFont val="Times New Roman"/>
        <family val="1"/>
      </rPr>
      <t>(mol/m.s.Pa^0.5)</t>
    </r>
  </si>
  <si>
    <r>
      <t>Thickness of salt layer at 700C, 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 xml:space="preserve"> (m)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</si>
</sst>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rgb="FF00B050"/>
      <name val="Times New Roman"/>
      <family val="1"/>
    </font>
    <font>
      <sz val="11"/>
      <color rgb="FF00B050"/>
      <name val="Times New Roman"/>
      <family val="1"/>
    </font>
    <font>
      <b/>
      <vertAlign val="subscript"/>
      <sz val="11"/>
      <name val="Times New Roman"/>
      <family val="1"/>
    </font>
    <font>
      <b/>
      <sz val="12"/>
      <name val="Times New Roman"/>
      <family val="1"/>
    </font>
    <font>
      <b/>
      <vertAlign val="subscript"/>
      <sz val="11"/>
      <color rgb="FF00B050"/>
      <name val="Times New Roman"/>
      <family val="1"/>
    </font>
    <font>
      <b/>
      <sz val="8"/>
      <color rgb="FF00B05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1" fontId="4" fillId="0" borderId="1" xfId="0" applyNumberFormat="1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1" fontId="3" fillId="0" borderId="2" xfId="0" applyNumberFormat="1" applyFont="1" applyBorder="1" applyAlignment="1">
      <alignment horizontal="center"/>
    </xf>
    <xf numFmtId="11" fontId="3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11" fontId="1" fillId="0" borderId="1" xfId="0" applyNumberFormat="1" applyFont="1" applyBorder="1" applyAlignment="1">
      <alignment horizontal="center"/>
    </xf>
    <xf numFmtId="11" fontId="5" fillId="2" borderId="1" xfId="0" applyNumberFormat="1" applyFont="1" applyFill="1" applyBorder="1" applyAlignment="1">
      <alignment horizontal="center" vertical="center" wrapText="1"/>
    </xf>
    <xf numFmtId="11" fontId="1" fillId="0" borderId="2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1" fontId="2" fillId="2" borderId="1" xfId="0" applyNumberFormat="1" applyFont="1" applyFill="1" applyBorder="1" applyAlignment="1">
      <alignment horizontal="center" vertical="center" wrapText="1"/>
    </xf>
    <xf numFmtId="11" fontId="2" fillId="3" borderId="1" xfId="0" applyNumberFormat="1" applyFont="1" applyFill="1" applyBorder="1" applyAlignment="1">
      <alignment horizontal="center" vertical="center" wrapText="1"/>
    </xf>
    <xf numFmtId="11" fontId="4" fillId="0" borderId="2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1" fontId="8" fillId="0" borderId="1" xfId="0" applyNumberFormat="1" applyFont="1" applyBorder="1" applyAlignment="1">
      <alignment horizontal="center"/>
    </xf>
    <xf numFmtId="11" fontId="7" fillId="2" borderId="1" xfId="0" applyNumberFormat="1" applyFont="1" applyFill="1" applyBorder="1" applyAlignment="1">
      <alignment horizontal="center" vertical="center" wrapText="1"/>
    </xf>
    <xf numFmtId="11" fontId="8" fillId="0" borderId="2" xfId="0" applyNumberFormat="1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11" fontId="3" fillId="3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1" fontId="1" fillId="3" borderId="1" xfId="0" applyNumberFormat="1" applyFont="1" applyFill="1" applyBorder="1" applyAlignment="1">
      <alignment horizontal="center"/>
    </xf>
    <xf numFmtId="11" fontId="2" fillId="3" borderId="1" xfId="0" applyNumberFormat="1" applyFont="1" applyFill="1" applyBorder="1" applyAlignment="1">
      <alignment horizontal="center"/>
    </xf>
    <xf numFmtId="11" fontId="3" fillId="4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'700C_5mm_coated+swapped+dewar_N'!$B$1:$B$164</c:f>
              <c:numCache>
                <c:formatCode>General</c:formatCode>
                <c:ptCount val="164"/>
                <c:pt idx="1">
                  <c:v>0</c:v>
                </c:pt>
                <c:pt idx="2">
                  <c:v>180</c:v>
                </c:pt>
                <c:pt idx="3">
                  <c:v>360</c:v>
                </c:pt>
                <c:pt idx="4">
                  <c:v>540</c:v>
                </c:pt>
                <c:pt idx="5">
                  <c:v>720</c:v>
                </c:pt>
                <c:pt idx="6">
                  <c:v>900</c:v>
                </c:pt>
                <c:pt idx="7">
                  <c:v>1080</c:v>
                </c:pt>
                <c:pt idx="8">
                  <c:v>1260</c:v>
                </c:pt>
                <c:pt idx="9">
                  <c:v>1440</c:v>
                </c:pt>
                <c:pt idx="10">
                  <c:v>1620</c:v>
                </c:pt>
                <c:pt idx="11">
                  <c:v>1800</c:v>
                </c:pt>
                <c:pt idx="12">
                  <c:v>1980</c:v>
                </c:pt>
                <c:pt idx="13">
                  <c:v>2160</c:v>
                </c:pt>
                <c:pt idx="14">
                  <c:v>2340</c:v>
                </c:pt>
                <c:pt idx="15">
                  <c:v>2520</c:v>
                </c:pt>
                <c:pt idx="16">
                  <c:v>2700</c:v>
                </c:pt>
                <c:pt idx="17">
                  <c:v>2880</c:v>
                </c:pt>
                <c:pt idx="18">
                  <c:v>3060</c:v>
                </c:pt>
                <c:pt idx="19">
                  <c:v>3240</c:v>
                </c:pt>
                <c:pt idx="20">
                  <c:v>3420</c:v>
                </c:pt>
                <c:pt idx="21">
                  <c:v>3600</c:v>
                </c:pt>
                <c:pt idx="22">
                  <c:v>3780</c:v>
                </c:pt>
                <c:pt idx="23">
                  <c:v>3960</c:v>
                </c:pt>
                <c:pt idx="24">
                  <c:v>4140</c:v>
                </c:pt>
                <c:pt idx="25">
                  <c:v>4320</c:v>
                </c:pt>
                <c:pt idx="26">
                  <c:v>4500</c:v>
                </c:pt>
                <c:pt idx="27">
                  <c:v>4680</c:v>
                </c:pt>
                <c:pt idx="28">
                  <c:v>4860</c:v>
                </c:pt>
                <c:pt idx="29">
                  <c:v>5040</c:v>
                </c:pt>
                <c:pt idx="30">
                  <c:v>5220</c:v>
                </c:pt>
                <c:pt idx="31">
                  <c:v>5400</c:v>
                </c:pt>
                <c:pt idx="32">
                  <c:v>5580</c:v>
                </c:pt>
                <c:pt idx="33">
                  <c:v>5760</c:v>
                </c:pt>
                <c:pt idx="34">
                  <c:v>5940</c:v>
                </c:pt>
                <c:pt idx="35">
                  <c:v>6120</c:v>
                </c:pt>
                <c:pt idx="36">
                  <c:v>6300</c:v>
                </c:pt>
                <c:pt idx="37">
                  <c:v>6480</c:v>
                </c:pt>
                <c:pt idx="38">
                  <c:v>6660</c:v>
                </c:pt>
                <c:pt idx="39">
                  <c:v>6840</c:v>
                </c:pt>
                <c:pt idx="40">
                  <c:v>7020</c:v>
                </c:pt>
                <c:pt idx="41">
                  <c:v>7200</c:v>
                </c:pt>
                <c:pt idx="42">
                  <c:v>7380</c:v>
                </c:pt>
                <c:pt idx="43">
                  <c:v>7560</c:v>
                </c:pt>
                <c:pt idx="44">
                  <c:v>7740</c:v>
                </c:pt>
                <c:pt idx="45">
                  <c:v>7920</c:v>
                </c:pt>
                <c:pt idx="46">
                  <c:v>8100</c:v>
                </c:pt>
                <c:pt idx="47">
                  <c:v>8280</c:v>
                </c:pt>
                <c:pt idx="48">
                  <c:v>8460</c:v>
                </c:pt>
                <c:pt idx="49">
                  <c:v>8640</c:v>
                </c:pt>
                <c:pt idx="50">
                  <c:v>8820</c:v>
                </c:pt>
                <c:pt idx="51">
                  <c:v>9000</c:v>
                </c:pt>
                <c:pt idx="52">
                  <c:v>9180</c:v>
                </c:pt>
                <c:pt idx="53">
                  <c:v>9360</c:v>
                </c:pt>
                <c:pt idx="54">
                  <c:v>9540</c:v>
                </c:pt>
                <c:pt idx="55">
                  <c:v>9720</c:v>
                </c:pt>
                <c:pt idx="56">
                  <c:v>9900</c:v>
                </c:pt>
                <c:pt idx="57">
                  <c:v>10080</c:v>
                </c:pt>
                <c:pt idx="58">
                  <c:v>10260</c:v>
                </c:pt>
                <c:pt idx="59">
                  <c:v>10440</c:v>
                </c:pt>
                <c:pt idx="60">
                  <c:v>10620</c:v>
                </c:pt>
                <c:pt idx="61">
                  <c:v>10800</c:v>
                </c:pt>
                <c:pt idx="62">
                  <c:v>10980</c:v>
                </c:pt>
                <c:pt idx="63">
                  <c:v>11160</c:v>
                </c:pt>
                <c:pt idx="64">
                  <c:v>11340</c:v>
                </c:pt>
                <c:pt idx="65">
                  <c:v>11520</c:v>
                </c:pt>
                <c:pt idx="66">
                  <c:v>11700</c:v>
                </c:pt>
                <c:pt idx="67">
                  <c:v>11880</c:v>
                </c:pt>
                <c:pt idx="68">
                  <c:v>12060</c:v>
                </c:pt>
                <c:pt idx="69">
                  <c:v>12240</c:v>
                </c:pt>
                <c:pt idx="70">
                  <c:v>12420</c:v>
                </c:pt>
                <c:pt idx="71">
                  <c:v>12600</c:v>
                </c:pt>
                <c:pt idx="72">
                  <c:v>12780</c:v>
                </c:pt>
                <c:pt idx="73">
                  <c:v>12960</c:v>
                </c:pt>
                <c:pt idx="74">
                  <c:v>13140</c:v>
                </c:pt>
                <c:pt idx="75">
                  <c:v>13320</c:v>
                </c:pt>
                <c:pt idx="76">
                  <c:v>13500</c:v>
                </c:pt>
                <c:pt idx="77">
                  <c:v>13680</c:v>
                </c:pt>
                <c:pt idx="78">
                  <c:v>13860</c:v>
                </c:pt>
                <c:pt idx="79">
                  <c:v>14040</c:v>
                </c:pt>
                <c:pt idx="80">
                  <c:v>14220</c:v>
                </c:pt>
                <c:pt idx="81">
                  <c:v>14400</c:v>
                </c:pt>
                <c:pt idx="82">
                  <c:v>14580</c:v>
                </c:pt>
                <c:pt idx="83">
                  <c:v>14760</c:v>
                </c:pt>
                <c:pt idx="84">
                  <c:v>14940</c:v>
                </c:pt>
                <c:pt idx="85">
                  <c:v>15120</c:v>
                </c:pt>
                <c:pt idx="86">
                  <c:v>15300</c:v>
                </c:pt>
                <c:pt idx="87">
                  <c:v>15480</c:v>
                </c:pt>
                <c:pt idx="88">
                  <c:v>15660</c:v>
                </c:pt>
                <c:pt idx="89">
                  <c:v>15840</c:v>
                </c:pt>
                <c:pt idx="90">
                  <c:v>16020</c:v>
                </c:pt>
                <c:pt idx="91">
                  <c:v>16200</c:v>
                </c:pt>
                <c:pt idx="92">
                  <c:v>16380</c:v>
                </c:pt>
                <c:pt idx="93">
                  <c:v>16560</c:v>
                </c:pt>
                <c:pt idx="94">
                  <c:v>16740</c:v>
                </c:pt>
                <c:pt idx="95">
                  <c:v>16920</c:v>
                </c:pt>
                <c:pt idx="96">
                  <c:v>17100</c:v>
                </c:pt>
                <c:pt idx="97">
                  <c:v>17280</c:v>
                </c:pt>
                <c:pt idx="98">
                  <c:v>17460</c:v>
                </c:pt>
                <c:pt idx="99">
                  <c:v>17640</c:v>
                </c:pt>
                <c:pt idx="100">
                  <c:v>17820</c:v>
                </c:pt>
                <c:pt idx="101">
                  <c:v>18000</c:v>
                </c:pt>
                <c:pt idx="102">
                  <c:v>18180</c:v>
                </c:pt>
                <c:pt idx="103">
                  <c:v>18360</c:v>
                </c:pt>
                <c:pt idx="104">
                  <c:v>18540</c:v>
                </c:pt>
                <c:pt idx="105">
                  <c:v>18720</c:v>
                </c:pt>
                <c:pt idx="106">
                  <c:v>18900</c:v>
                </c:pt>
                <c:pt idx="107">
                  <c:v>19080</c:v>
                </c:pt>
                <c:pt idx="108">
                  <c:v>19260</c:v>
                </c:pt>
                <c:pt idx="109">
                  <c:v>19440</c:v>
                </c:pt>
                <c:pt idx="110">
                  <c:v>19620</c:v>
                </c:pt>
                <c:pt idx="111">
                  <c:v>19800</c:v>
                </c:pt>
                <c:pt idx="112">
                  <c:v>19980</c:v>
                </c:pt>
                <c:pt idx="113">
                  <c:v>20160</c:v>
                </c:pt>
                <c:pt idx="114">
                  <c:v>20340</c:v>
                </c:pt>
                <c:pt idx="115">
                  <c:v>20520</c:v>
                </c:pt>
                <c:pt idx="116">
                  <c:v>20700</c:v>
                </c:pt>
                <c:pt idx="117">
                  <c:v>20880</c:v>
                </c:pt>
                <c:pt idx="118">
                  <c:v>21060</c:v>
                </c:pt>
                <c:pt idx="119">
                  <c:v>21240</c:v>
                </c:pt>
                <c:pt idx="120">
                  <c:v>21420</c:v>
                </c:pt>
                <c:pt idx="121">
                  <c:v>21600</c:v>
                </c:pt>
                <c:pt idx="122">
                  <c:v>21780</c:v>
                </c:pt>
                <c:pt idx="123">
                  <c:v>21960</c:v>
                </c:pt>
                <c:pt idx="124">
                  <c:v>22140</c:v>
                </c:pt>
              </c:numCache>
            </c:numRef>
          </c:xVal>
          <c:yVal>
            <c:numRef>
              <c:f>'700C_5mm_coated+swapped+dewar_N'!$P$1:$P$164</c:f>
              <c:numCache>
                <c:formatCode>0.00E+00</c:formatCode>
                <c:ptCount val="164"/>
                <c:pt idx="1">
                  <c:v>646420933322820.38</c:v>
                </c:pt>
                <c:pt idx="2">
                  <c:v>650619250759505.88</c:v>
                </c:pt>
                <c:pt idx="3">
                  <c:v>467692562446776.13</c:v>
                </c:pt>
                <c:pt idx="4">
                  <c:v>700999059999733.38</c:v>
                </c:pt>
                <c:pt idx="5">
                  <c:v>459295927573404.94</c:v>
                </c:pt>
                <c:pt idx="6">
                  <c:v>552858430448112.63</c:v>
                </c:pt>
                <c:pt idx="7">
                  <c:v>552258670814300.38</c:v>
                </c:pt>
                <c:pt idx="8">
                  <c:v>733386080225593.5</c:v>
                </c:pt>
                <c:pt idx="9">
                  <c:v>967892097046175.13</c:v>
                </c:pt>
                <c:pt idx="10">
                  <c:v>1324149319530639</c:v>
                </c:pt>
                <c:pt idx="11">
                  <c:v>1916711837737121</c:v>
                </c:pt>
                <c:pt idx="12">
                  <c:v>2641821235016106.5</c:v>
                </c:pt>
                <c:pt idx="13">
                  <c:v>3453296019564051.5</c:v>
                </c:pt>
                <c:pt idx="14">
                  <c:v>4467489560340531.5</c:v>
                </c:pt>
                <c:pt idx="15">
                  <c:v>5690999213317478</c:v>
                </c:pt>
                <c:pt idx="16">
                  <c:v>6066448744083934</c:v>
                </c:pt>
                <c:pt idx="17">
                  <c:v>7229382674045846</c:v>
                </c:pt>
                <c:pt idx="18">
                  <c:v>7713388698532317</c:v>
                </c:pt>
                <c:pt idx="19">
                  <c:v>8095435585270702</c:v>
                </c:pt>
                <c:pt idx="20">
                  <c:v>8542256512460814</c:v>
                </c:pt>
                <c:pt idx="21">
                  <c:v>8986078641481863</c:v>
                </c:pt>
                <c:pt idx="22">
                  <c:v>9337537786895832</c:v>
                </c:pt>
                <c:pt idx="23">
                  <c:v>9235578649147750</c:v>
                </c:pt>
                <c:pt idx="24">
                  <c:v>9671603902929242</c:v>
                </c:pt>
                <c:pt idx="25">
                  <c:v>9700392365352228</c:v>
                </c:pt>
                <c:pt idx="26">
                  <c:v>9817945253579426</c:v>
                </c:pt>
                <c:pt idx="27">
                  <c:v>9829340686621858</c:v>
                </c:pt>
                <c:pt idx="28">
                  <c:v>1.0150811850345214E+16</c:v>
                </c:pt>
                <c:pt idx="29">
                  <c:v>9853930831608160</c:v>
                </c:pt>
                <c:pt idx="30">
                  <c:v>1.0002671220793592E+16</c:v>
                </c:pt>
                <c:pt idx="31">
                  <c:v>1.0119024589753164E+16</c:v>
                </c:pt>
                <c:pt idx="32">
                  <c:v>9920504150961316</c:v>
                </c:pt>
                <c:pt idx="33">
                  <c:v>1.0005670018962654E+16</c:v>
                </c:pt>
                <c:pt idx="34">
                  <c:v>1.001586593273746E+16</c:v>
                </c:pt>
                <c:pt idx="35">
                  <c:v>9943894776679992</c:v>
                </c:pt>
                <c:pt idx="36">
                  <c:v>9852131552706722</c:v>
                </c:pt>
                <c:pt idx="37">
                  <c:v>1.0017065452005086E+16</c:v>
                </c:pt>
                <c:pt idx="38">
                  <c:v>1.0117225310851726E+16</c:v>
                </c:pt>
                <c:pt idx="39">
                  <c:v>9981079873976350</c:v>
                </c:pt>
                <c:pt idx="40">
                  <c:v>9942695257412370</c:v>
                </c:pt>
                <c:pt idx="41">
                  <c:v>9910308237186508</c:v>
                </c:pt>
                <c:pt idx="42">
                  <c:v>9981679633610164</c:v>
                </c:pt>
                <c:pt idx="43">
                  <c:v>9805350301269368</c:v>
                </c:pt>
                <c:pt idx="44">
                  <c:v>9897713284876452</c:v>
                </c:pt>
                <c:pt idx="45">
                  <c:v>1.0146013773274714E+16</c:v>
                </c:pt>
                <c:pt idx="46">
                  <c:v>9749572655324832</c:v>
                </c:pt>
                <c:pt idx="47">
                  <c:v>9517465677039498</c:v>
                </c:pt>
                <c:pt idx="48">
                  <c:v>9834138763692356</c:v>
                </c:pt>
                <c:pt idx="49">
                  <c:v>9877921216960648</c:v>
                </c:pt>
                <c:pt idx="50">
                  <c:v>9613427218449456</c:v>
                </c:pt>
                <c:pt idx="51">
                  <c:v>9804750541635556</c:v>
                </c:pt>
                <c:pt idx="52">
                  <c:v>1.0002671220793592E+16</c:v>
                </c:pt>
                <c:pt idx="53">
                  <c:v>9480880339376952</c:v>
                </c:pt>
                <c:pt idx="54">
                  <c:v>9779560637015444</c:v>
                </c:pt>
                <c:pt idx="55">
                  <c:v>9611028179914206</c:v>
                </c:pt>
                <c:pt idx="56">
                  <c:v>9741775780085272</c:v>
                </c:pt>
                <c:pt idx="57">
                  <c:v>9841935638931916</c:v>
                </c:pt>
                <c:pt idx="58">
                  <c:v>9585838275294094</c:v>
                </c:pt>
                <c:pt idx="59">
                  <c:v>9665006546957306</c:v>
                </c:pt>
                <c:pt idx="60">
                  <c:v>9728581068141404</c:v>
                </c:pt>
                <c:pt idx="61">
                  <c:v>9586438034927906</c:v>
                </c:pt>
                <c:pt idx="62">
                  <c:v>9688397172675984</c:v>
                </c:pt>
                <c:pt idx="63">
                  <c:v>9753171213127706</c:v>
                </c:pt>
                <c:pt idx="64">
                  <c:v>9987077470314474</c:v>
                </c:pt>
                <c:pt idx="65">
                  <c:v>9811947657241304</c:v>
                </c:pt>
                <c:pt idx="66">
                  <c:v>9794554627860746</c:v>
                </c:pt>
                <c:pt idx="67">
                  <c:v>9748373136057208</c:v>
                </c:pt>
                <c:pt idx="68">
                  <c:v>9907909198651260</c:v>
                </c:pt>
                <c:pt idx="69">
                  <c:v>1.0073442857583434E+16</c:v>
                </c:pt>
                <c:pt idx="70">
                  <c:v>9861127947213906</c:v>
                </c:pt>
                <c:pt idx="71">
                  <c:v>9954690450088612</c:v>
                </c:pt>
                <c:pt idx="72">
                  <c:v>9966685642764856</c:v>
                </c:pt>
                <c:pt idx="73">
                  <c:v>9870724101354902</c:v>
                </c:pt>
                <c:pt idx="74">
                  <c:v>9852131552706722</c:v>
                </c:pt>
                <c:pt idx="75">
                  <c:v>1.007524213648487E+16</c:v>
                </c:pt>
                <c:pt idx="76">
                  <c:v>1.0430899599335524E+16</c:v>
                </c:pt>
                <c:pt idx="77">
                  <c:v>1.0255769786262352E+16</c:v>
                </c:pt>
                <c:pt idx="78">
                  <c:v>1.023597771834655E+16</c:v>
                </c:pt>
                <c:pt idx="79">
                  <c:v>9967885162032484</c:v>
                </c:pt>
                <c:pt idx="80">
                  <c:v>1.0190995745810632E+16</c:v>
                </c:pt>
                <c:pt idx="81">
                  <c:v>1.023117964127605E+16</c:v>
                </c:pt>
                <c:pt idx="82">
                  <c:v>1.0145414013640902E+16</c:v>
                </c:pt>
                <c:pt idx="83">
                  <c:v>1.0144214494373276E+16</c:v>
                </c:pt>
                <c:pt idx="84">
                  <c:v>1.0063846703442442E+16</c:v>
                </c:pt>
                <c:pt idx="85">
                  <c:v>1.0390115944236292E+16</c:v>
                </c:pt>
                <c:pt idx="86">
                  <c:v>1.0228780602740804E+16</c:v>
                </c:pt>
                <c:pt idx="87">
                  <c:v>1.026056786333285E+16</c:v>
                </c:pt>
                <c:pt idx="88">
                  <c:v>9945694055581428</c:v>
                </c:pt>
                <c:pt idx="89">
                  <c:v>1.0150811850345214E+16</c:v>
                </c:pt>
                <c:pt idx="90">
                  <c:v>1.0236577477980362E+16</c:v>
                </c:pt>
                <c:pt idx="91">
                  <c:v>1.0452490946152764E+16</c:v>
                </c:pt>
                <c:pt idx="92">
                  <c:v>1.0228180843106988E+16</c:v>
                </c:pt>
                <c:pt idx="93">
                  <c:v>1.0304950076234954E+16</c:v>
                </c:pt>
                <c:pt idx="94">
                  <c:v>1.0228780602740804E+16</c:v>
                </c:pt>
                <c:pt idx="95">
                  <c:v>1.0309748153305454E+16</c:v>
                </c:pt>
                <c:pt idx="96">
                  <c:v>1.066660513542373E+16</c:v>
                </c:pt>
                <c:pt idx="97">
                  <c:v>1.0695993357480528E+16</c:v>
                </c:pt>
                <c:pt idx="98">
                  <c:v>1.042730104153265E+16</c:v>
                </c:pt>
                <c:pt idx="99">
                  <c:v>1.04590883021247E+16</c:v>
                </c:pt>
                <c:pt idx="100">
                  <c:v>1.0463886379195196E+16</c:v>
                </c:pt>
                <c:pt idx="101">
                  <c:v>1.0573042632549022E+16</c:v>
                </c:pt>
                <c:pt idx="102">
                  <c:v>1.0352930846939934E+16</c:v>
                </c:pt>
                <c:pt idx="103">
                  <c:v>1.054305465085841E+16</c:v>
                </c:pt>
                <c:pt idx="104">
                  <c:v>1.0378720511193858E+16</c:v>
                </c:pt>
                <c:pt idx="105">
                  <c:v>1.0402111136912536E+16</c:v>
                </c:pt>
                <c:pt idx="106">
                  <c:v>1.1003070289992386E+16</c:v>
                </c:pt>
                <c:pt idx="107">
                  <c:v>1.0748772205256006E+16</c:v>
                </c:pt>
                <c:pt idx="108">
                  <c:v>1.0604230133507258E+16</c:v>
                </c:pt>
                <c:pt idx="109">
                  <c:v>1.0492674841618184E+16</c:v>
                </c:pt>
                <c:pt idx="110">
                  <c:v>1.0883118363229942E+16</c:v>
                </c:pt>
                <c:pt idx="111">
                  <c:v>1.0252770988093292E+16</c:v>
                </c:pt>
                <c:pt idx="112">
                  <c:v>1.0868724132018452E+16</c:v>
                </c:pt>
                <c:pt idx="113">
                  <c:v>1.0490875562716746E+16</c:v>
                </c:pt>
                <c:pt idx="114">
                  <c:v>1.0567644795844714E+16</c:v>
                </c:pt>
                <c:pt idx="115">
                  <c:v>1.075776859976319E+16</c:v>
                </c:pt>
                <c:pt idx="116">
                  <c:v>1.0566445276577086E+16</c:v>
                </c:pt>
                <c:pt idx="117">
                  <c:v>1.0460287821392322E+16</c:v>
                </c:pt>
                <c:pt idx="118">
                  <c:v>1.0304950076234954E+16</c:v>
                </c:pt>
                <c:pt idx="119">
                  <c:v>1.0377520991926234E+16</c:v>
                </c:pt>
                <c:pt idx="120">
                  <c:v>1.052446210221023E+16</c:v>
                </c:pt>
                <c:pt idx="121">
                  <c:v>1.0425501762631212E+16</c:v>
                </c:pt>
                <c:pt idx="122">
                  <c:v>1.0460887581026136E+16</c:v>
                </c:pt>
                <c:pt idx="123">
                  <c:v>1.0315145990009766E+16</c:v>
                </c:pt>
                <c:pt idx="124">
                  <c:v>1.0256369545896164E+16</c:v>
                </c:pt>
                <c:pt idx="125">
                  <c:v>1.0423757007332852E+16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A8-41F9-A29E-146995CB7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527471"/>
        <c:axId val="1766520751"/>
      </c:scatterChart>
      <c:valAx>
        <c:axId val="1766527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520751"/>
        <c:crosses val="autoZero"/>
        <c:crossBetween val="midCat"/>
      </c:valAx>
      <c:valAx>
        <c:axId val="1766520751"/>
        <c:scaling>
          <c:orientation val="minMax"/>
          <c:min val="200000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527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460374</xdr:colOff>
      <xdr:row>7</xdr:row>
      <xdr:rowOff>80961</xdr:rowOff>
    </xdr:from>
    <xdr:to>
      <xdr:col>14</xdr:col>
      <xdr:colOff>333374</xdr:colOff>
      <xdr:row>39</xdr:row>
      <xdr:rowOff>58207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490057-2F7A-0CE6-CDEC-6A7CA02A71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B2779-B411-4375-9710-F7CF12CDBF33}">
  <dimension ref="A1:BX208"/>
  <sheetViews>
    <sheetView topLeftCell="A72" zoomScale="110" zoomScaleNormal="110" workbookViewId="0">
      <selection activeCell="Y55" sqref="Y55:Y82"/>
    </sheetView>
  </sheetViews>
  <sheetFormatPr defaultColWidth="8.90625" defaultRowHeight="14" x14ac:dyDescent="0.3"/>
  <cols>
    <col min="1" max="4" width="22.08984375" style="1" customWidth="1"/>
    <col min="5" max="5" width="18.81640625" style="1" customWidth="1"/>
    <col min="6" max="6" width="17.36328125" style="1" customWidth="1"/>
    <col min="7" max="7" width="16.6328125" style="1" customWidth="1"/>
    <col min="8" max="8" width="20.90625" style="1" customWidth="1"/>
    <col min="9" max="9" width="19.1796875" style="1" customWidth="1"/>
    <col min="10" max="10" width="23.08984375" style="1" customWidth="1"/>
    <col min="11" max="11" width="13.6328125" style="14" customWidth="1"/>
    <col min="12" max="12" width="20.90625" style="3" customWidth="1"/>
    <col min="13" max="13" width="27.36328125" style="3" customWidth="1"/>
    <col min="14" max="14" width="20.6328125" style="8" customWidth="1"/>
    <col min="15" max="15" width="20.6328125" style="23" customWidth="1"/>
    <col min="16" max="16" width="32.90625" style="23" customWidth="1"/>
    <col min="17" max="17" width="23.1796875" style="8" customWidth="1"/>
    <col min="18" max="18" width="30.90625" style="8" customWidth="1"/>
    <col min="19" max="19" width="20.6328125" style="8" customWidth="1"/>
    <col min="20" max="20" width="20.6328125" style="13" customWidth="1"/>
    <col min="21" max="21" width="20.6328125" style="8" customWidth="1"/>
    <col min="22" max="22" width="20.6328125" style="13" customWidth="1"/>
    <col min="23" max="23" width="23.81640625" style="19" customWidth="1"/>
    <col min="24" max="24" width="47.36328125" style="8" customWidth="1"/>
    <col min="25" max="25" width="51.6328125" style="19" customWidth="1"/>
    <col min="26" max="16384" width="8.90625" style="6"/>
  </cols>
  <sheetData>
    <row r="1" spans="1:25" s="24" customFormat="1" ht="53.4" customHeight="1" x14ac:dyDescent="0.35">
      <c r="A1" s="15" t="s">
        <v>7</v>
      </c>
      <c r="B1" s="16" t="s">
        <v>6</v>
      </c>
      <c r="C1" s="15" t="s">
        <v>2</v>
      </c>
      <c r="D1" s="15" t="s">
        <v>1</v>
      </c>
      <c r="E1" s="16" t="s">
        <v>0</v>
      </c>
      <c r="F1" s="15" t="s">
        <v>3</v>
      </c>
      <c r="G1" s="16" t="s">
        <v>10</v>
      </c>
      <c r="H1" s="15" t="s">
        <v>4</v>
      </c>
      <c r="I1" s="16" t="s">
        <v>11</v>
      </c>
      <c r="J1" s="16" t="s">
        <v>8</v>
      </c>
      <c r="K1" s="15" t="s">
        <v>5</v>
      </c>
      <c r="L1" s="16" t="s">
        <v>9</v>
      </c>
      <c r="M1" s="10" t="s">
        <v>19</v>
      </c>
      <c r="N1" s="17" t="s">
        <v>26</v>
      </c>
      <c r="O1" s="22" t="s">
        <v>17</v>
      </c>
      <c r="P1" s="22" t="s">
        <v>27</v>
      </c>
      <c r="Q1" s="18" t="s">
        <v>12</v>
      </c>
      <c r="R1" s="17" t="s">
        <v>15</v>
      </c>
      <c r="S1" s="17" t="s">
        <v>28</v>
      </c>
      <c r="T1" s="12" t="s">
        <v>13</v>
      </c>
      <c r="U1" s="17" t="s">
        <v>14</v>
      </c>
      <c r="V1" s="12" t="s">
        <v>22</v>
      </c>
      <c r="W1" s="12" t="s">
        <v>21</v>
      </c>
      <c r="X1" s="25" t="s">
        <v>23</v>
      </c>
      <c r="Y1" s="25" t="s">
        <v>20</v>
      </c>
    </row>
    <row r="2" spans="1:25" x14ac:dyDescent="0.3">
      <c r="A2" s="1">
        <v>0</v>
      </c>
      <c r="B2" s="1">
        <f>(A2/60)</f>
        <v>0</v>
      </c>
      <c r="C2" s="1">
        <v>20</v>
      </c>
      <c r="D2" s="1">
        <f t="shared" ref="D2:D65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28">
        <v>30.391089108910894</v>
      </c>
      <c r="L2" s="2">
        <f>(K2/1000000)</f>
        <v>3.0391089108910894E-5</v>
      </c>
      <c r="M2" s="3">
        <f>(3.142*3.07*3.07*25.4*25.4)/(4*1000000)</f>
        <v>4.7762865441819992E-3</v>
      </c>
      <c r="N2" s="2">
        <f>(L2*J2)/M2</f>
        <v>1.2805248216292124E-7</v>
      </c>
      <c r="O2" s="21">
        <f>(2.032/1000)</f>
        <v>2.032E-3</v>
      </c>
      <c r="P2" s="21">
        <v>4.5724343480153871E-11</v>
      </c>
      <c r="Q2" s="2">
        <v>0.31</v>
      </c>
      <c r="R2" s="2">
        <f>(1+Q2)*100000*1</f>
        <v>131000</v>
      </c>
      <c r="S2" s="2">
        <f>(5.13985794328043/1000)</f>
        <v>5.1398579432804297E-3</v>
      </c>
      <c r="T2" s="11">
        <v>0.11</v>
      </c>
      <c r="U2" s="11">
        <f>(1+T2)*100000</f>
        <v>111000.00000000001</v>
      </c>
      <c r="V2" s="11">
        <f t="shared" ref="V2:V65" si="1">(L2*U2)</f>
        <v>3.3734108910891099</v>
      </c>
      <c r="W2" s="11">
        <f>((N2*O2/P2) + SQRT(V2))^2</f>
        <v>56.661232278555104</v>
      </c>
      <c r="X2" s="2">
        <f>(N2*S2)/(R2-W2)</f>
        <v>5.0263844942077393E-15</v>
      </c>
      <c r="Y2" s="2">
        <f>(X2*6.022E+23)</f>
        <v>3026888742.4119005</v>
      </c>
    </row>
    <row r="3" spans="1:25" x14ac:dyDescent="0.3">
      <c r="A3" s="26">
        <v>3</v>
      </c>
      <c r="B3" s="26">
        <f t="shared" ref="B3:B66" si="2">(A3/60)</f>
        <v>0.05</v>
      </c>
      <c r="C3" s="26">
        <v>20</v>
      </c>
      <c r="D3" s="26">
        <f t="shared" si="0"/>
        <v>29.146000000000001</v>
      </c>
      <c r="E3" s="26">
        <f t="shared" ref="E3:E66" si="3">(D3/(1000000*60))</f>
        <v>4.8576666666666667E-7</v>
      </c>
      <c r="F3" s="26">
        <v>21.1</v>
      </c>
      <c r="G3" s="26">
        <f t="shared" ref="G3:G66" si="4">(273+F3)</f>
        <v>294.10000000000002</v>
      </c>
      <c r="H3" s="26">
        <v>101.3</v>
      </c>
      <c r="I3" s="26">
        <f t="shared" ref="I3:I66" si="5">(H3*1000)</f>
        <v>101300</v>
      </c>
      <c r="J3" s="26">
        <f t="shared" ref="J3:J66" si="6">((I3*E3)/(8.314*G3))</f>
        <v>2.0124824921938581E-5</v>
      </c>
      <c r="K3" s="28">
        <v>24.549504950495052</v>
      </c>
      <c r="L3" s="27">
        <f t="shared" ref="L3:L66" si="7">(K3/1000000)</f>
        <v>2.4549504950495051E-5</v>
      </c>
      <c r="M3" s="29">
        <f t="shared" ref="M3:M66" si="8">(3.142*3.07*3.07*25.4*25.4)/(4*1000000)</f>
        <v>4.7762865441819992E-3</v>
      </c>
      <c r="N3" s="27">
        <f t="shared" ref="N3:N66" si="9">(L3*J3)/M3</f>
        <v>1.0343903877601014E-7</v>
      </c>
      <c r="O3" s="21">
        <f t="shared" ref="O3:O66" si="10">(2.032/1000)</f>
        <v>2.032E-3</v>
      </c>
      <c r="P3" s="21">
        <v>4.5724343480153871E-11</v>
      </c>
      <c r="Q3" s="2">
        <v>0.31</v>
      </c>
      <c r="R3" s="27">
        <f t="shared" ref="R3:R66" si="11">(1+Q3)*100000*1</f>
        <v>131000</v>
      </c>
      <c r="S3" s="2">
        <f t="shared" ref="S3:S66" si="12">(5.13985794328043/1000)</f>
        <v>5.1398579432804297E-3</v>
      </c>
      <c r="T3" s="11">
        <v>0.11</v>
      </c>
      <c r="U3" s="30">
        <f t="shared" ref="U3:U66" si="13">(1+T3)*100000</f>
        <v>111000.00000000001</v>
      </c>
      <c r="V3" s="30">
        <f t="shared" si="1"/>
        <v>2.7249950495049511</v>
      </c>
      <c r="W3" s="11">
        <f t="shared" ref="W3:W66" si="14">((N3*O3/P3) + SQRT(V3))^2</f>
        <v>39.032628282365607</v>
      </c>
      <c r="X3" s="2">
        <f t="shared" ref="X3:X66" si="15">(N3*S3)/(R3-W3)</f>
        <v>4.0596979066984653E-15</v>
      </c>
      <c r="Y3" s="2">
        <f t="shared" ref="Y3:Y66" si="16">(X3*6.022E+23)</f>
        <v>2444750079.413816</v>
      </c>
    </row>
    <row r="4" spans="1:25" x14ac:dyDescent="0.3">
      <c r="A4" s="26">
        <v>6</v>
      </c>
      <c r="B4" s="26">
        <f t="shared" si="2"/>
        <v>0.1</v>
      </c>
      <c r="C4" s="26">
        <v>20</v>
      </c>
      <c r="D4" s="26">
        <f t="shared" si="0"/>
        <v>29.146000000000001</v>
      </c>
      <c r="E4" s="26">
        <f t="shared" si="3"/>
        <v>4.8576666666666667E-7</v>
      </c>
      <c r="F4" s="26">
        <v>21.1</v>
      </c>
      <c r="G4" s="26">
        <f t="shared" si="4"/>
        <v>294.10000000000002</v>
      </c>
      <c r="H4" s="26">
        <v>101.3</v>
      </c>
      <c r="I4" s="26">
        <f t="shared" si="5"/>
        <v>101300</v>
      </c>
      <c r="J4" s="26">
        <f t="shared" si="6"/>
        <v>2.0124824921938581E-5</v>
      </c>
      <c r="K4" s="28">
        <v>23.509900990099009</v>
      </c>
      <c r="L4" s="27">
        <f t="shared" si="7"/>
        <v>2.3509900990099008E-5</v>
      </c>
      <c r="M4" s="29">
        <f t="shared" si="8"/>
        <v>4.7762865441819992E-3</v>
      </c>
      <c r="N4" s="27">
        <f t="shared" si="9"/>
        <v>9.9058680207153095E-8</v>
      </c>
      <c r="O4" s="21">
        <f t="shared" si="10"/>
        <v>2.032E-3</v>
      </c>
      <c r="P4" s="21">
        <v>4.5724343480153871E-11</v>
      </c>
      <c r="Q4" s="2">
        <v>0.31</v>
      </c>
      <c r="R4" s="27">
        <f t="shared" si="11"/>
        <v>131000</v>
      </c>
      <c r="S4" s="2">
        <f t="shared" si="12"/>
        <v>5.1398579432804297E-3</v>
      </c>
      <c r="T4" s="11">
        <v>0.11</v>
      </c>
      <c r="U4" s="30">
        <f t="shared" si="13"/>
        <v>111000.00000000001</v>
      </c>
      <c r="V4" s="30">
        <f t="shared" si="1"/>
        <v>2.60959900990099</v>
      </c>
      <c r="W4" s="11">
        <f t="shared" si="14"/>
        <v>36.211691822860907</v>
      </c>
      <c r="X4" s="2">
        <f t="shared" si="15"/>
        <v>3.8876971328556277E-15</v>
      </c>
      <c r="Y4" s="2">
        <f t="shared" si="16"/>
        <v>2341171213.4056592</v>
      </c>
    </row>
    <row r="5" spans="1:25" x14ac:dyDescent="0.3">
      <c r="A5" s="26">
        <v>9</v>
      </c>
      <c r="B5" s="26">
        <f t="shared" si="2"/>
        <v>0.15</v>
      </c>
      <c r="C5" s="26">
        <v>20</v>
      </c>
      <c r="D5" s="26">
        <f t="shared" si="0"/>
        <v>29.146000000000001</v>
      </c>
      <c r="E5" s="26">
        <f t="shared" si="3"/>
        <v>4.8576666666666667E-7</v>
      </c>
      <c r="F5" s="26">
        <v>21.1</v>
      </c>
      <c r="G5" s="26">
        <f t="shared" si="4"/>
        <v>294.10000000000002</v>
      </c>
      <c r="H5" s="26">
        <v>101.3</v>
      </c>
      <c r="I5" s="26">
        <f t="shared" si="5"/>
        <v>101300</v>
      </c>
      <c r="J5" s="26">
        <f t="shared" si="6"/>
        <v>2.0124824921938581E-5</v>
      </c>
      <c r="K5" s="28">
        <v>18.806930693069308</v>
      </c>
      <c r="L5" s="27">
        <f t="shared" si="7"/>
        <v>1.8806930693069307E-5</v>
      </c>
      <c r="M5" s="29">
        <f t="shared" si="8"/>
        <v>4.7762865441819992E-3</v>
      </c>
      <c r="N5" s="27">
        <f t="shared" si="9"/>
        <v>7.9242772395656895E-8</v>
      </c>
      <c r="O5" s="21">
        <f t="shared" si="10"/>
        <v>2.032E-3</v>
      </c>
      <c r="P5" s="21">
        <v>4.5724343480153871E-11</v>
      </c>
      <c r="Q5" s="2">
        <v>0.31</v>
      </c>
      <c r="R5" s="27">
        <f t="shared" si="11"/>
        <v>131000</v>
      </c>
      <c r="S5" s="2">
        <f t="shared" si="12"/>
        <v>5.1398579432804297E-3</v>
      </c>
      <c r="T5" s="11">
        <v>0.11</v>
      </c>
      <c r="U5" s="30">
        <f t="shared" si="13"/>
        <v>111000.00000000001</v>
      </c>
      <c r="V5" s="30">
        <f t="shared" si="1"/>
        <v>2.0875693069306931</v>
      </c>
      <c r="W5" s="11">
        <f t="shared" si="14"/>
        <v>24.665215897009599</v>
      </c>
      <c r="X5" s="2">
        <f t="shared" si="15"/>
        <v>3.1097198095867398E-15</v>
      </c>
      <c r="Y5" s="2">
        <f t="shared" si="16"/>
        <v>1872673269.3331349</v>
      </c>
    </row>
    <row r="6" spans="1:25" x14ac:dyDescent="0.3">
      <c r="A6" s="26">
        <v>12</v>
      </c>
      <c r="B6" s="26">
        <f t="shared" si="2"/>
        <v>0.2</v>
      </c>
      <c r="C6" s="26">
        <v>20</v>
      </c>
      <c r="D6" s="26">
        <f t="shared" si="0"/>
        <v>29.146000000000001</v>
      </c>
      <c r="E6" s="26">
        <f t="shared" si="3"/>
        <v>4.8576666666666667E-7</v>
      </c>
      <c r="F6" s="26">
        <v>21.1</v>
      </c>
      <c r="G6" s="26">
        <f t="shared" si="4"/>
        <v>294.10000000000002</v>
      </c>
      <c r="H6" s="26">
        <v>101.3</v>
      </c>
      <c r="I6" s="26">
        <f t="shared" si="5"/>
        <v>101300</v>
      </c>
      <c r="J6" s="26">
        <f t="shared" si="6"/>
        <v>2.0124824921938581E-5</v>
      </c>
      <c r="K6" s="28">
        <v>23.534653465346533</v>
      </c>
      <c r="L6" s="27">
        <f t="shared" si="7"/>
        <v>2.3534653465346533E-5</v>
      </c>
      <c r="M6" s="29">
        <f t="shared" si="8"/>
        <v>4.7762865441819992E-3</v>
      </c>
      <c r="N6" s="27">
        <f t="shared" si="9"/>
        <v>9.9162974458792548E-8</v>
      </c>
      <c r="O6" s="21">
        <f t="shared" si="10"/>
        <v>2.032E-3</v>
      </c>
      <c r="P6" s="21">
        <v>4.5724343480153871E-11</v>
      </c>
      <c r="Q6" s="2">
        <v>0.31</v>
      </c>
      <c r="R6" s="27">
        <f t="shared" si="11"/>
        <v>131000</v>
      </c>
      <c r="S6" s="2">
        <f t="shared" si="12"/>
        <v>5.1398579432804297E-3</v>
      </c>
      <c r="T6" s="11">
        <v>0.11</v>
      </c>
      <c r="U6" s="30">
        <f t="shared" si="13"/>
        <v>111000.00000000001</v>
      </c>
      <c r="V6" s="30">
        <f t="shared" si="1"/>
        <v>2.6123465346534656</v>
      </c>
      <c r="W6" s="11">
        <f t="shared" si="14"/>
        <v>36.277735614941214</v>
      </c>
      <c r="X6" s="2">
        <f t="shared" si="15"/>
        <v>3.8917922699418054E-15</v>
      </c>
      <c r="Y6" s="2">
        <f t="shared" si="16"/>
        <v>2343637304.9589553</v>
      </c>
    </row>
    <row r="7" spans="1:25" x14ac:dyDescent="0.3">
      <c r="A7" s="26">
        <v>15</v>
      </c>
      <c r="B7" s="26">
        <f t="shared" si="2"/>
        <v>0.25</v>
      </c>
      <c r="C7" s="26">
        <v>20</v>
      </c>
      <c r="D7" s="26">
        <f t="shared" si="0"/>
        <v>29.146000000000001</v>
      </c>
      <c r="E7" s="26">
        <f t="shared" si="3"/>
        <v>4.8576666666666667E-7</v>
      </c>
      <c r="F7" s="26">
        <v>21.1</v>
      </c>
      <c r="G7" s="26">
        <f t="shared" si="4"/>
        <v>294.10000000000002</v>
      </c>
      <c r="H7" s="26">
        <v>101.3</v>
      </c>
      <c r="I7" s="26">
        <f t="shared" si="5"/>
        <v>101300</v>
      </c>
      <c r="J7" s="26">
        <f t="shared" si="6"/>
        <v>2.0124824921938581E-5</v>
      </c>
      <c r="K7" s="28">
        <v>21.356435643564357</v>
      </c>
      <c r="L7" s="27">
        <f t="shared" si="7"/>
        <v>2.1356435643564358E-5</v>
      </c>
      <c r="M7" s="29">
        <f t="shared" si="8"/>
        <v>4.7762865441819992E-3</v>
      </c>
      <c r="N7" s="27">
        <f t="shared" si="9"/>
        <v>8.9985080314520638E-8</v>
      </c>
      <c r="O7" s="21">
        <f t="shared" si="10"/>
        <v>2.032E-3</v>
      </c>
      <c r="P7" s="21">
        <v>4.5724343480153871E-11</v>
      </c>
      <c r="Q7" s="2">
        <v>0.31</v>
      </c>
      <c r="R7" s="27">
        <f t="shared" si="11"/>
        <v>131000</v>
      </c>
      <c r="S7" s="2">
        <f t="shared" si="12"/>
        <v>5.1398579432804297E-3</v>
      </c>
      <c r="T7" s="11">
        <v>0.11</v>
      </c>
      <c r="U7" s="30">
        <f t="shared" si="13"/>
        <v>111000.00000000001</v>
      </c>
      <c r="V7" s="30">
        <f t="shared" si="1"/>
        <v>2.370564356435644</v>
      </c>
      <c r="W7" s="11">
        <f t="shared" si="14"/>
        <v>30.676319372731658</v>
      </c>
      <c r="X7" s="2">
        <f t="shared" si="15"/>
        <v>3.5314416905684154E-15</v>
      </c>
      <c r="Y7" s="2">
        <f t="shared" si="16"/>
        <v>2126634186.0602999</v>
      </c>
    </row>
    <row r="8" spans="1:25" x14ac:dyDescent="0.3">
      <c r="A8" s="26">
        <v>18</v>
      </c>
      <c r="B8" s="26">
        <f t="shared" si="2"/>
        <v>0.3</v>
      </c>
      <c r="C8" s="26">
        <v>20</v>
      </c>
      <c r="D8" s="26">
        <f t="shared" si="0"/>
        <v>29.146000000000001</v>
      </c>
      <c r="E8" s="26">
        <f t="shared" si="3"/>
        <v>4.8576666666666667E-7</v>
      </c>
      <c r="F8" s="26">
        <v>21.1</v>
      </c>
      <c r="G8" s="26">
        <f t="shared" si="4"/>
        <v>294.10000000000002</v>
      </c>
      <c r="H8" s="26">
        <v>101.3</v>
      </c>
      <c r="I8" s="26">
        <f t="shared" si="5"/>
        <v>101300</v>
      </c>
      <c r="J8" s="26">
        <f t="shared" si="6"/>
        <v>2.0124824921938581E-5</v>
      </c>
      <c r="K8" s="28">
        <v>22.965346534653467</v>
      </c>
      <c r="L8" s="27">
        <f t="shared" si="7"/>
        <v>2.2965346534653465E-5</v>
      </c>
      <c r="M8" s="29">
        <f t="shared" si="8"/>
        <v>4.7762865441819992E-3</v>
      </c>
      <c r="N8" s="27">
        <f t="shared" si="9"/>
        <v>9.6764206671085118E-8</v>
      </c>
      <c r="O8" s="21">
        <f t="shared" si="10"/>
        <v>2.032E-3</v>
      </c>
      <c r="P8" s="21">
        <v>4.5724343480153871E-11</v>
      </c>
      <c r="Q8" s="2">
        <v>0.31</v>
      </c>
      <c r="R8" s="27">
        <f t="shared" si="11"/>
        <v>131000</v>
      </c>
      <c r="S8" s="2">
        <f t="shared" si="12"/>
        <v>5.1398579432804297E-3</v>
      </c>
      <c r="T8" s="11">
        <v>0.11</v>
      </c>
      <c r="U8" s="30">
        <f t="shared" si="13"/>
        <v>111000.00000000001</v>
      </c>
      <c r="V8" s="30">
        <f t="shared" si="1"/>
        <v>2.5491534653465351</v>
      </c>
      <c r="W8" s="11">
        <f t="shared" si="14"/>
        <v>34.772600969279637</v>
      </c>
      <c r="X8" s="2">
        <f t="shared" si="15"/>
        <v>3.7976055641719672E-15</v>
      </c>
      <c r="Y8" s="2">
        <f t="shared" si="16"/>
        <v>2286918070.7443585</v>
      </c>
    </row>
    <row r="9" spans="1:25" x14ac:dyDescent="0.3">
      <c r="A9" s="26">
        <v>21</v>
      </c>
      <c r="B9" s="26">
        <f t="shared" si="2"/>
        <v>0.35</v>
      </c>
      <c r="C9" s="26">
        <v>20</v>
      </c>
      <c r="D9" s="26">
        <f t="shared" si="0"/>
        <v>29.146000000000001</v>
      </c>
      <c r="E9" s="26">
        <f t="shared" si="3"/>
        <v>4.8576666666666667E-7</v>
      </c>
      <c r="F9" s="26">
        <v>21.1</v>
      </c>
      <c r="G9" s="26">
        <f t="shared" si="4"/>
        <v>294.10000000000002</v>
      </c>
      <c r="H9" s="26">
        <v>101.3</v>
      </c>
      <c r="I9" s="26">
        <f t="shared" si="5"/>
        <v>101300</v>
      </c>
      <c r="J9" s="26">
        <f t="shared" si="6"/>
        <v>2.0124824921938581E-5</v>
      </c>
      <c r="K9" s="28">
        <v>17.816831683168317</v>
      </c>
      <c r="L9" s="27">
        <f t="shared" si="7"/>
        <v>1.7816831683168318E-5</v>
      </c>
      <c r="M9" s="29">
        <f t="shared" si="8"/>
        <v>4.7762865441819992E-3</v>
      </c>
      <c r="N9" s="27">
        <f t="shared" si="9"/>
        <v>7.5071002330078765E-8</v>
      </c>
      <c r="O9" s="21">
        <f t="shared" si="10"/>
        <v>2.032E-3</v>
      </c>
      <c r="P9" s="21">
        <v>4.5724343480153871E-11</v>
      </c>
      <c r="Q9" s="2">
        <v>0.31</v>
      </c>
      <c r="R9" s="27">
        <f t="shared" si="11"/>
        <v>131000</v>
      </c>
      <c r="S9" s="2">
        <f t="shared" si="12"/>
        <v>5.1398579432804297E-3</v>
      </c>
      <c r="T9" s="11">
        <v>0.11</v>
      </c>
      <c r="U9" s="30">
        <f t="shared" si="13"/>
        <v>111000.00000000001</v>
      </c>
      <c r="V9" s="30">
        <f t="shared" si="1"/>
        <v>1.9776683168316835</v>
      </c>
      <c r="W9" s="11">
        <f t="shared" si="14"/>
        <v>22.491002793616541</v>
      </c>
      <c r="X9" s="2">
        <f t="shared" si="15"/>
        <v>2.9459583602594612E-15</v>
      </c>
      <c r="Y9" s="2">
        <f t="shared" si="16"/>
        <v>1774056124.5482476</v>
      </c>
    </row>
    <row r="10" spans="1:25" x14ac:dyDescent="0.3">
      <c r="A10" s="26">
        <v>24</v>
      </c>
      <c r="B10" s="26">
        <f t="shared" si="2"/>
        <v>0.4</v>
      </c>
      <c r="C10" s="26">
        <v>20</v>
      </c>
      <c r="D10" s="26">
        <f t="shared" si="0"/>
        <v>29.146000000000001</v>
      </c>
      <c r="E10" s="26">
        <f t="shared" si="3"/>
        <v>4.8576666666666667E-7</v>
      </c>
      <c r="F10" s="26">
        <v>21.1</v>
      </c>
      <c r="G10" s="26">
        <f t="shared" si="4"/>
        <v>294.10000000000002</v>
      </c>
      <c r="H10" s="26">
        <v>101.3</v>
      </c>
      <c r="I10" s="26">
        <f t="shared" si="5"/>
        <v>101300</v>
      </c>
      <c r="J10" s="26">
        <f t="shared" si="6"/>
        <v>2.0124824921938581E-5</v>
      </c>
      <c r="K10" s="28">
        <v>27.024752475247528</v>
      </c>
      <c r="L10" s="27">
        <f t="shared" si="7"/>
        <v>2.7024752475247528E-5</v>
      </c>
      <c r="M10" s="29">
        <f t="shared" si="8"/>
        <v>4.7762865441819992E-3</v>
      </c>
      <c r="N10" s="27">
        <f t="shared" si="9"/>
        <v>1.1386846393995554E-7</v>
      </c>
      <c r="O10" s="21">
        <f t="shared" si="10"/>
        <v>2.032E-3</v>
      </c>
      <c r="P10" s="21">
        <v>4.5724343480153871E-11</v>
      </c>
      <c r="Q10" s="2">
        <v>0.31</v>
      </c>
      <c r="R10" s="27">
        <f t="shared" si="11"/>
        <v>131000</v>
      </c>
      <c r="S10" s="2">
        <f t="shared" si="12"/>
        <v>5.1398579432804297E-3</v>
      </c>
      <c r="T10" s="11">
        <v>0.11</v>
      </c>
      <c r="U10" s="30">
        <f t="shared" si="13"/>
        <v>111000.00000000001</v>
      </c>
      <c r="V10" s="30">
        <f t="shared" si="1"/>
        <v>2.9997475247524759</v>
      </c>
      <c r="W10" s="11">
        <f t="shared" si="14"/>
        <v>46.135581111179732</v>
      </c>
      <c r="X10" s="2">
        <f t="shared" si="15"/>
        <v>4.4692665731405673E-15</v>
      </c>
      <c r="Y10" s="2">
        <f t="shared" si="16"/>
        <v>2691392330.3452497</v>
      </c>
    </row>
    <row r="11" spans="1:25" x14ac:dyDescent="0.3">
      <c r="A11" s="26">
        <v>27</v>
      </c>
      <c r="B11" s="26">
        <f t="shared" si="2"/>
        <v>0.45</v>
      </c>
      <c r="C11" s="26">
        <v>20</v>
      </c>
      <c r="D11" s="26">
        <f t="shared" si="0"/>
        <v>29.146000000000001</v>
      </c>
      <c r="E11" s="26">
        <f t="shared" si="3"/>
        <v>4.8576666666666667E-7</v>
      </c>
      <c r="F11" s="26">
        <v>21.1</v>
      </c>
      <c r="G11" s="26">
        <f t="shared" si="4"/>
        <v>294.10000000000002</v>
      </c>
      <c r="H11" s="26">
        <v>101.3</v>
      </c>
      <c r="I11" s="26">
        <f t="shared" si="5"/>
        <v>101300</v>
      </c>
      <c r="J11" s="26">
        <f t="shared" si="6"/>
        <v>2.0124824921938581E-5</v>
      </c>
      <c r="K11" s="28">
        <v>32.148514851485146</v>
      </c>
      <c r="L11" s="27">
        <f t="shared" si="7"/>
        <v>3.2148514851485146E-5</v>
      </c>
      <c r="M11" s="29">
        <f t="shared" si="8"/>
        <v>4.7762865441819992E-3</v>
      </c>
      <c r="N11" s="27">
        <f t="shared" si="9"/>
        <v>1.3545737402932243E-7</v>
      </c>
      <c r="O11" s="21">
        <f t="shared" si="10"/>
        <v>2.032E-3</v>
      </c>
      <c r="P11" s="21">
        <v>4.5724343480153871E-11</v>
      </c>
      <c r="Q11" s="2">
        <v>0.31</v>
      </c>
      <c r="R11" s="27">
        <f t="shared" si="11"/>
        <v>131000</v>
      </c>
      <c r="S11" s="2">
        <f t="shared" si="12"/>
        <v>5.1398579432804297E-3</v>
      </c>
      <c r="T11" s="11">
        <v>0.11</v>
      </c>
      <c r="U11" s="30">
        <f t="shared" si="13"/>
        <v>111000.00000000001</v>
      </c>
      <c r="V11" s="30">
        <f t="shared" si="1"/>
        <v>3.5684851485148519</v>
      </c>
      <c r="W11" s="11">
        <f t="shared" si="14"/>
        <v>62.54910629333061</v>
      </c>
      <c r="X11" s="2">
        <f t="shared" si="15"/>
        <v>5.3172843608030284E-15</v>
      </c>
      <c r="Y11" s="2">
        <f t="shared" si="16"/>
        <v>3202068642.0755839</v>
      </c>
    </row>
    <row r="12" spans="1:25" x14ac:dyDescent="0.3">
      <c r="A12" s="26">
        <v>30</v>
      </c>
      <c r="B12" s="26">
        <f t="shared" si="2"/>
        <v>0.5</v>
      </c>
      <c r="C12" s="26">
        <v>20</v>
      </c>
      <c r="D12" s="26">
        <f t="shared" si="0"/>
        <v>29.146000000000001</v>
      </c>
      <c r="E12" s="26">
        <f t="shared" si="3"/>
        <v>4.8576666666666667E-7</v>
      </c>
      <c r="F12" s="26">
        <v>21.1</v>
      </c>
      <c r="G12" s="26">
        <f t="shared" si="4"/>
        <v>294.10000000000002</v>
      </c>
      <c r="H12" s="26">
        <v>101.3</v>
      </c>
      <c r="I12" s="26">
        <f t="shared" si="5"/>
        <v>101300</v>
      </c>
      <c r="J12" s="26">
        <f t="shared" si="6"/>
        <v>2.0124824921938581E-5</v>
      </c>
      <c r="K12" s="28">
        <v>26.82673267326733</v>
      </c>
      <c r="L12" s="27">
        <f t="shared" si="7"/>
        <v>2.6826732673267329E-5</v>
      </c>
      <c r="M12" s="29">
        <f t="shared" si="8"/>
        <v>4.7762865441819992E-3</v>
      </c>
      <c r="N12" s="27">
        <f t="shared" si="9"/>
        <v>1.1303410992683989E-7</v>
      </c>
      <c r="O12" s="21">
        <f t="shared" si="10"/>
        <v>2.032E-3</v>
      </c>
      <c r="P12" s="21">
        <v>4.5724343480153871E-11</v>
      </c>
      <c r="Q12" s="2">
        <v>0.31</v>
      </c>
      <c r="R12" s="27">
        <f t="shared" si="11"/>
        <v>131000</v>
      </c>
      <c r="S12" s="2">
        <f t="shared" si="12"/>
        <v>5.1398579432804297E-3</v>
      </c>
      <c r="T12" s="11">
        <v>0.11</v>
      </c>
      <c r="U12" s="30">
        <f t="shared" si="13"/>
        <v>111000.00000000001</v>
      </c>
      <c r="V12" s="30">
        <f t="shared" si="1"/>
        <v>2.9777673267326739</v>
      </c>
      <c r="W12" s="11">
        <f t="shared" si="14"/>
        <v>45.547406264572075</v>
      </c>
      <c r="X12" s="2">
        <f t="shared" si="15"/>
        <v>4.4364987693201506E-15</v>
      </c>
      <c r="Y12" s="2">
        <f t="shared" si="16"/>
        <v>2671659558.8845949</v>
      </c>
    </row>
    <row r="13" spans="1:25" x14ac:dyDescent="0.3">
      <c r="A13" s="26">
        <v>33</v>
      </c>
      <c r="B13" s="26">
        <f t="shared" si="2"/>
        <v>0.55000000000000004</v>
      </c>
      <c r="C13" s="26">
        <v>20</v>
      </c>
      <c r="D13" s="26">
        <f t="shared" si="0"/>
        <v>29.146000000000001</v>
      </c>
      <c r="E13" s="26">
        <f t="shared" si="3"/>
        <v>4.8576666666666667E-7</v>
      </c>
      <c r="F13" s="26">
        <v>21.1</v>
      </c>
      <c r="G13" s="26">
        <f t="shared" si="4"/>
        <v>294.10000000000002</v>
      </c>
      <c r="H13" s="26">
        <v>101.3</v>
      </c>
      <c r="I13" s="26">
        <f t="shared" si="5"/>
        <v>101300</v>
      </c>
      <c r="J13" s="26">
        <f t="shared" si="6"/>
        <v>2.0124824921938581E-5</v>
      </c>
      <c r="K13" s="28">
        <v>33.584158415841586</v>
      </c>
      <c r="L13" s="27">
        <f t="shared" si="7"/>
        <v>3.3584158415841584E-5</v>
      </c>
      <c r="M13" s="29">
        <f t="shared" si="8"/>
        <v>4.7762865441819992E-3</v>
      </c>
      <c r="N13" s="27">
        <f t="shared" si="9"/>
        <v>1.4150644062441072E-7</v>
      </c>
      <c r="O13" s="21">
        <f t="shared" si="10"/>
        <v>2.032E-3</v>
      </c>
      <c r="P13" s="21">
        <v>4.5724343480153871E-11</v>
      </c>
      <c r="Q13" s="2">
        <v>0.31</v>
      </c>
      <c r="R13" s="27">
        <f t="shared" si="11"/>
        <v>131000</v>
      </c>
      <c r="S13" s="2">
        <f t="shared" si="12"/>
        <v>5.1398579432804297E-3</v>
      </c>
      <c r="T13" s="11">
        <v>0.11</v>
      </c>
      <c r="U13" s="30">
        <f t="shared" si="13"/>
        <v>111000.00000000001</v>
      </c>
      <c r="V13" s="30">
        <f t="shared" si="1"/>
        <v>3.7278415841584165</v>
      </c>
      <c r="W13" s="11">
        <f t="shared" si="14"/>
        <v>67.5575439696687</v>
      </c>
      <c r="X13" s="2">
        <f t="shared" si="15"/>
        <v>5.5549487142040231E-15</v>
      </c>
      <c r="Y13" s="2">
        <f t="shared" si="16"/>
        <v>3345190115.6936626</v>
      </c>
    </row>
    <row r="14" spans="1:25" x14ac:dyDescent="0.3">
      <c r="A14" s="26">
        <v>36</v>
      </c>
      <c r="B14" s="26">
        <f t="shared" si="2"/>
        <v>0.6</v>
      </c>
      <c r="C14" s="26">
        <v>20</v>
      </c>
      <c r="D14" s="26">
        <f t="shared" si="0"/>
        <v>29.146000000000001</v>
      </c>
      <c r="E14" s="26">
        <f t="shared" si="3"/>
        <v>4.8576666666666667E-7</v>
      </c>
      <c r="F14" s="26">
        <v>21.1</v>
      </c>
      <c r="G14" s="26">
        <f t="shared" si="4"/>
        <v>294.10000000000002</v>
      </c>
      <c r="H14" s="26">
        <v>101.3</v>
      </c>
      <c r="I14" s="26">
        <f t="shared" si="5"/>
        <v>101300</v>
      </c>
      <c r="J14" s="26">
        <f t="shared" si="6"/>
        <v>2.0124824921938581E-5</v>
      </c>
      <c r="K14" s="28">
        <v>47.445544554455452</v>
      </c>
      <c r="L14" s="27">
        <f t="shared" si="7"/>
        <v>4.7445544554455453E-5</v>
      </c>
      <c r="M14" s="29">
        <f t="shared" si="8"/>
        <v>4.7762865441819992E-3</v>
      </c>
      <c r="N14" s="27">
        <f t="shared" si="9"/>
        <v>1.9991122154250483E-7</v>
      </c>
      <c r="O14" s="21">
        <f t="shared" si="10"/>
        <v>2.032E-3</v>
      </c>
      <c r="P14" s="21">
        <v>4.5724343480153871E-11</v>
      </c>
      <c r="Q14" s="2">
        <v>0.31</v>
      </c>
      <c r="R14" s="27">
        <f t="shared" si="11"/>
        <v>131000</v>
      </c>
      <c r="S14" s="2">
        <f t="shared" si="12"/>
        <v>5.1398579432804297E-3</v>
      </c>
      <c r="T14" s="11">
        <v>0.11</v>
      </c>
      <c r="U14" s="30">
        <f t="shared" si="13"/>
        <v>111000.00000000001</v>
      </c>
      <c r="V14" s="30">
        <f t="shared" si="1"/>
        <v>5.2664554455445565</v>
      </c>
      <c r="W14" s="11">
        <f t="shared" si="14"/>
        <v>124.96948395948945</v>
      </c>
      <c r="X14" s="2">
        <f t="shared" si="15"/>
        <v>7.8511177872864101E-15</v>
      </c>
      <c r="Y14" s="2">
        <f t="shared" si="16"/>
        <v>4727943131.5038767</v>
      </c>
    </row>
    <row r="15" spans="1:25" x14ac:dyDescent="0.3">
      <c r="A15" s="26">
        <v>39</v>
      </c>
      <c r="B15" s="26">
        <f t="shared" si="2"/>
        <v>0.65</v>
      </c>
      <c r="C15" s="26">
        <v>20</v>
      </c>
      <c r="D15" s="26">
        <f t="shared" si="0"/>
        <v>29.146000000000001</v>
      </c>
      <c r="E15" s="26">
        <f t="shared" si="3"/>
        <v>4.8576666666666667E-7</v>
      </c>
      <c r="F15" s="26">
        <v>21.1</v>
      </c>
      <c r="G15" s="26">
        <f t="shared" si="4"/>
        <v>294.10000000000002</v>
      </c>
      <c r="H15" s="26">
        <v>101.3</v>
      </c>
      <c r="I15" s="26">
        <f t="shared" si="5"/>
        <v>101300</v>
      </c>
      <c r="J15" s="26">
        <f t="shared" si="6"/>
        <v>2.0124824921938581E-5</v>
      </c>
      <c r="K15" s="28">
        <v>42.64356435643564</v>
      </c>
      <c r="L15" s="27">
        <f t="shared" si="7"/>
        <v>4.2643564356435639E-5</v>
      </c>
      <c r="M15" s="29">
        <f t="shared" si="8"/>
        <v>4.7762865441819992E-3</v>
      </c>
      <c r="N15" s="27">
        <f t="shared" si="9"/>
        <v>1.7967813672445078E-7</v>
      </c>
      <c r="O15" s="21">
        <f t="shared" si="10"/>
        <v>2.032E-3</v>
      </c>
      <c r="P15" s="21">
        <v>4.5724343480153871E-11</v>
      </c>
      <c r="Q15" s="2">
        <v>0.31</v>
      </c>
      <c r="R15" s="27">
        <f t="shared" si="11"/>
        <v>131000</v>
      </c>
      <c r="S15" s="2">
        <f t="shared" si="12"/>
        <v>5.1398579432804297E-3</v>
      </c>
      <c r="T15" s="11">
        <v>0.11</v>
      </c>
      <c r="U15" s="30">
        <f t="shared" si="13"/>
        <v>111000.00000000001</v>
      </c>
      <c r="V15" s="30">
        <f t="shared" si="1"/>
        <v>4.7334356435643565</v>
      </c>
      <c r="W15" s="11">
        <f t="shared" si="14"/>
        <v>103.23743494271262</v>
      </c>
      <c r="X15" s="2">
        <f t="shared" si="15"/>
        <v>7.0553318522144097E-15</v>
      </c>
      <c r="Y15" s="2">
        <f t="shared" si="16"/>
        <v>4248720841.4035177</v>
      </c>
    </row>
    <row r="16" spans="1:25" x14ac:dyDescent="0.3">
      <c r="A16" s="26">
        <v>42</v>
      </c>
      <c r="B16" s="26">
        <f t="shared" si="2"/>
        <v>0.7</v>
      </c>
      <c r="C16" s="26">
        <v>20</v>
      </c>
      <c r="D16" s="26">
        <f t="shared" si="0"/>
        <v>29.146000000000001</v>
      </c>
      <c r="E16" s="26">
        <f t="shared" si="3"/>
        <v>4.8576666666666667E-7</v>
      </c>
      <c r="F16" s="26">
        <v>21.1</v>
      </c>
      <c r="G16" s="26">
        <f t="shared" si="4"/>
        <v>294.10000000000002</v>
      </c>
      <c r="H16" s="26">
        <v>101.3</v>
      </c>
      <c r="I16" s="26">
        <f t="shared" si="5"/>
        <v>101300</v>
      </c>
      <c r="J16" s="26">
        <f t="shared" si="6"/>
        <v>2.0124824921938581E-5</v>
      </c>
      <c r="K16" s="28">
        <v>50.688118811881189</v>
      </c>
      <c r="L16" s="27">
        <f t="shared" si="7"/>
        <v>5.0688118811881191E-5</v>
      </c>
      <c r="M16" s="29">
        <f t="shared" si="8"/>
        <v>4.7762865441819992E-3</v>
      </c>
      <c r="N16" s="27">
        <f t="shared" si="9"/>
        <v>2.1357376850727327E-7</v>
      </c>
      <c r="O16" s="21">
        <f t="shared" si="10"/>
        <v>2.032E-3</v>
      </c>
      <c r="P16" s="21">
        <v>4.5724343480153871E-11</v>
      </c>
      <c r="Q16" s="2">
        <v>0.31</v>
      </c>
      <c r="R16" s="27">
        <f t="shared" si="11"/>
        <v>131000</v>
      </c>
      <c r="S16" s="2">
        <f t="shared" si="12"/>
        <v>5.1398579432804297E-3</v>
      </c>
      <c r="T16" s="11">
        <v>0.11</v>
      </c>
      <c r="U16" s="30">
        <f t="shared" si="13"/>
        <v>111000.00000000001</v>
      </c>
      <c r="V16" s="30">
        <f t="shared" si="1"/>
        <v>5.6263811881188133</v>
      </c>
      <c r="W16" s="11">
        <f t="shared" si="14"/>
        <v>140.73706143324827</v>
      </c>
      <c r="X16" s="2">
        <f t="shared" si="15"/>
        <v>8.3886979483736595E-15</v>
      </c>
      <c r="Y16" s="2">
        <f t="shared" si="16"/>
        <v>5051673904.5106182</v>
      </c>
    </row>
    <row r="17" spans="1:76" s="4" customFormat="1" x14ac:dyDescent="0.3">
      <c r="A17" s="26">
        <v>45</v>
      </c>
      <c r="B17" s="26">
        <f t="shared" si="2"/>
        <v>0.75</v>
      </c>
      <c r="C17" s="26">
        <v>20</v>
      </c>
      <c r="D17" s="26">
        <f t="shared" si="0"/>
        <v>29.146000000000001</v>
      </c>
      <c r="E17" s="26">
        <f t="shared" si="3"/>
        <v>4.8576666666666667E-7</v>
      </c>
      <c r="F17" s="26">
        <v>21.1</v>
      </c>
      <c r="G17" s="26">
        <f t="shared" si="4"/>
        <v>294.10000000000002</v>
      </c>
      <c r="H17" s="26">
        <v>101.3</v>
      </c>
      <c r="I17" s="26">
        <f t="shared" si="5"/>
        <v>101300</v>
      </c>
      <c r="J17" s="26">
        <f t="shared" si="6"/>
        <v>2.0124824921938581E-5</v>
      </c>
      <c r="K17" s="28">
        <v>61.084158415841586</v>
      </c>
      <c r="L17" s="27">
        <f t="shared" si="7"/>
        <v>6.1084158415841588E-5</v>
      </c>
      <c r="M17" s="29">
        <f t="shared" si="8"/>
        <v>4.7762865441819992E-3</v>
      </c>
      <c r="N17" s="27">
        <f t="shared" si="9"/>
        <v>2.5737735419584379E-7</v>
      </c>
      <c r="O17" s="21">
        <f t="shared" si="10"/>
        <v>2.032E-3</v>
      </c>
      <c r="P17" s="21">
        <v>4.5724343480153871E-11</v>
      </c>
      <c r="Q17" s="2">
        <v>0.31</v>
      </c>
      <c r="R17" s="27">
        <f t="shared" si="11"/>
        <v>131000</v>
      </c>
      <c r="S17" s="2">
        <f t="shared" si="12"/>
        <v>5.1398579432804297E-3</v>
      </c>
      <c r="T17" s="11">
        <v>0.11</v>
      </c>
      <c r="U17" s="30">
        <f t="shared" si="13"/>
        <v>111000.00000000001</v>
      </c>
      <c r="V17" s="30">
        <f t="shared" si="1"/>
        <v>6.7803415841584176</v>
      </c>
      <c r="W17" s="11">
        <f t="shared" si="14"/>
        <v>197.17259105500247</v>
      </c>
      <c r="X17" s="2">
        <f t="shared" si="15"/>
        <v>1.011356607948631E-14</v>
      </c>
      <c r="Y17" s="2">
        <f t="shared" si="16"/>
        <v>6090389493.0666561</v>
      </c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</row>
    <row r="18" spans="1:76" s="4" customFormat="1" x14ac:dyDescent="0.3">
      <c r="A18" s="26">
        <v>48</v>
      </c>
      <c r="B18" s="26">
        <f t="shared" si="2"/>
        <v>0.8</v>
      </c>
      <c r="C18" s="26">
        <v>20</v>
      </c>
      <c r="D18" s="26">
        <f t="shared" si="0"/>
        <v>29.146000000000001</v>
      </c>
      <c r="E18" s="26">
        <f t="shared" si="3"/>
        <v>4.8576666666666667E-7</v>
      </c>
      <c r="F18" s="26">
        <v>21.1</v>
      </c>
      <c r="G18" s="26">
        <f t="shared" si="4"/>
        <v>294.10000000000002</v>
      </c>
      <c r="H18" s="26">
        <v>101.3</v>
      </c>
      <c r="I18" s="26">
        <f t="shared" si="5"/>
        <v>101300</v>
      </c>
      <c r="J18" s="26">
        <f t="shared" si="6"/>
        <v>2.0124824921938581E-5</v>
      </c>
      <c r="K18" s="28">
        <v>68.089108910891085</v>
      </c>
      <c r="L18" s="27">
        <f t="shared" si="7"/>
        <v>6.808910891089108E-5</v>
      </c>
      <c r="M18" s="29">
        <f t="shared" si="8"/>
        <v>4.7762865441819992E-3</v>
      </c>
      <c r="N18" s="27">
        <f t="shared" si="9"/>
        <v>2.8689262740980915E-7</v>
      </c>
      <c r="O18" s="21">
        <f t="shared" si="10"/>
        <v>2.032E-3</v>
      </c>
      <c r="P18" s="21">
        <v>4.5724343480153871E-11</v>
      </c>
      <c r="Q18" s="2">
        <v>0.31</v>
      </c>
      <c r="R18" s="27">
        <f t="shared" si="11"/>
        <v>131000</v>
      </c>
      <c r="S18" s="2">
        <f t="shared" si="12"/>
        <v>5.1398579432804297E-3</v>
      </c>
      <c r="T18" s="11">
        <v>0.11</v>
      </c>
      <c r="U18" s="30">
        <f t="shared" si="13"/>
        <v>111000.00000000001</v>
      </c>
      <c r="V18" s="30">
        <f t="shared" si="1"/>
        <v>7.5578910891089111</v>
      </c>
      <c r="W18" s="11">
        <f t="shared" si="14"/>
        <v>240.21075861605618</v>
      </c>
      <c r="X18" s="2">
        <f t="shared" si="15"/>
        <v>1.127707040838676E-14</v>
      </c>
      <c r="Y18" s="2">
        <f t="shared" si="16"/>
        <v>6791051799.9305067</v>
      </c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</row>
    <row r="19" spans="1:76" s="4" customFormat="1" x14ac:dyDescent="0.3">
      <c r="A19" s="26">
        <v>51</v>
      </c>
      <c r="B19" s="26">
        <f t="shared" si="2"/>
        <v>0.85</v>
      </c>
      <c r="C19" s="26">
        <v>20</v>
      </c>
      <c r="D19" s="26">
        <f t="shared" si="0"/>
        <v>29.146000000000001</v>
      </c>
      <c r="E19" s="26">
        <f t="shared" si="3"/>
        <v>4.8576666666666667E-7</v>
      </c>
      <c r="F19" s="26">
        <v>21.1</v>
      </c>
      <c r="G19" s="26">
        <f t="shared" si="4"/>
        <v>294.10000000000002</v>
      </c>
      <c r="H19" s="26">
        <v>101.3</v>
      </c>
      <c r="I19" s="26">
        <f t="shared" si="5"/>
        <v>101300</v>
      </c>
      <c r="J19" s="26">
        <f t="shared" si="6"/>
        <v>2.0124824921938581E-5</v>
      </c>
      <c r="K19" s="28">
        <v>72.544554455445549</v>
      </c>
      <c r="L19" s="27">
        <f t="shared" si="7"/>
        <v>7.2544554455445547E-5</v>
      </c>
      <c r="M19" s="29">
        <f t="shared" si="8"/>
        <v>4.7762865441819992E-3</v>
      </c>
      <c r="N19" s="27">
        <f t="shared" si="9"/>
        <v>3.0566559270491083E-7</v>
      </c>
      <c r="O19" s="21">
        <f t="shared" si="10"/>
        <v>2.032E-3</v>
      </c>
      <c r="P19" s="21">
        <v>4.5724343480153871E-11</v>
      </c>
      <c r="Q19" s="2">
        <v>0.31</v>
      </c>
      <c r="R19" s="27">
        <f t="shared" si="11"/>
        <v>131000</v>
      </c>
      <c r="S19" s="2">
        <f t="shared" si="12"/>
        <v>5.1398579432804297E-3</v>
      </c>
      <c r="T19" s="11">
        <v>0.11</v>
      </c>
      <c r="U19" s="30">
        <f t="shared" si="13"/>
        <v>111000.00000000001</v>
      </c>
      <c r="V19" s="30">
        <f t="shared" si="1"/>
        <v>8.0524455445544572</v>
      </c>
      <c r="W19" s="11">
        <f t="shared" si="14"/>
        <v>269.66665062717237</v>
      </c>
      <c r="X19" s="2">
        <f t="shared" si="15"/>
        <v>1.2017698451461904E-14</v>
      </c>
      <c r="Y19" s="2">
        <f t="shared" si="16"/>
        <v>7237058007.4703588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</row>
    <row r="20" spans="1:76" s="4" customFormat="1" x14ac:dyDescent="0.3">
      <c r="A20" s="26">
        <v>54</v>
      </c>
      <c r="B20" s="26">
        <f t="shared" si="2"/>
        <v>0.9</v>
      </c>
      <c r="C20" s="26">
        <v>20</v>
      </c>
      <c r="D20" s="26">
        <f t="shared" si="0"/>
        <v>29.146000000000001</v>
      </c>
      <c r="E20" s="26">
        <f t="shared" si="3"/>
        <v>4.8576666666666667E-7</v>
      </c>
      <c r="F20" s="26">
        <v>21.1</v>
      </c>
      <c r="G20" s="26">
        <f t="shared" si="4"/>
        <v>294.10000000000002</v>
      </c>
      <c r="H20" s="26">
        <v>101.3</v>
      </c>
      <c r="I20" s="26">
        <f t="shared" si="5"/>
        <v>101300</v>
      </c>
      <c r="J20" s="26">
        <f t="shared" si="6"/>
        <v>2.0124824921938581E-5</v>
      </c>
      <c r="K20" s="28">
        <v>83.509900990099013</v>
      </c>
      <c r="L20" s="27">
        <f t="shared" si="7"/>
        <v>8.3509900990099019E-5</v>
      </c>
      <c r="M20" s="29">
        <f t="shared" si="8"/>
        <v>4.7762865441819992E-3</v>
      </c>
      <c r="N20" s="27">
        <f t="shared" si="9"/>
        <v>3.5186794618118882E-7</v>
      </c>
      <c r="O20" s="21">
        <f t="shared" si="10"/>
        <v>2.032E-3</v>
      </c>
      <c r="P20" s="21">
        <v>4.5724343480153871E-11</v>
      </c>
      <c r="Q20" s="2">
        <v>0.31</v>
      </c>
      <c r="R20" s="27">
        <f t="shared" si="11"/>
        <v>131000</v>
      </c>
      <c r="S20" s="2">
        <f t="shared" si="12"/>
        <v>5.1398579432804297E-3</v>
      </c>
      <c r="T20" s="11">
        <v>0.11</v>
      </c>
      <c r="U20" s="30">
        <f t="shared" si="13"/>
        <v>111000.00000000001</v>
      </c>
      <c r="V20" s="30">
        <f t="shared" si="1"/>
        <v>9.2695990099009915</v>
      </c>
      <c r="W20" s="11">
        <f t="shared" si="14"/>
        <v>349.00559552579779</v>
      </c>
      <c r="X20" s="2">
        <f t="shared" si="15"/>
        <v>1.3842613800291286E-14</v>
      </c>
      <c r="Y20" s="2">
        <f t="shared" si="16"/>
        <v>8336022030.5354128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</row>
    <row r="21" spans="1:76" s="4" customFormat="1" x14ac:dyDescent="0.3">
      <c r="A21" s="26">
        <v>57</v>
      </c>
      <c r="B21" s="26">
        <f t="shared" si="2"/>
        <v>0.95</v>
      </c>
      <c r="C21" s="26">
        <v>20</v>
      </c>
      <c r="D21" s="26">
        <f t="shared" si="0"/>
        <v>29.146000000000001</v>
      </c>
      <c r="E21" s="26">
        <f t="shared" si="3"/>
        <v>4.8576666666666667E-7</v>
      </c>
      <c r="F21" s="26">
        <v>21.1</v>
      </c>
      <c r="G21" s="26">
        <f t="shared" si="4"/>
        <v>294.10000000000002</v>
      </c>
      <c r="H21" s="26">
        <v>101.3</v>
      </c>
      <c r="I21" s="26">
        <f t="shared" si="5"/>
        <v>101300</v>
      </c>
      <c r="J21" s="26">
        <f t="shared" si="6"/>
        <v>2.0124824921938581E-5</v>
      </c>
      <c r="K21" s="28">
        <v>93.188118811881196</v>
      </c>
      <c r="L21" s="27">
        <f t="shared" si="7"/>
        <v>9.3188118811881194E-5</v>
      </c>
      <c r="M21" s="29">
        <f t="shared" si="8"/>
        <v>4.7762865441819992E-3</v>
      </c>
      <c r="N21" s="27">
        <f t="shared" si="9"/>
        <v>3.9264699857221525E-7</v>
      </c>
      <c r="O21" s="21">
        <f t="shared" si="10"/>
        <v>2.032E-3</v>
      </c>
      <c r="P21" s="21">
        <v>4.5724343480153871E-11</v>
      </c>
      <c r="Q21" s="2">
        <v>0.31</v>
      </c>
      <c r="R21" s="27">
        <f t="shared" si="11"/>
        <v>131000</v>
      </c>
      <c r="S21" s="2">
        <f t="shared" si="12"/>
        <v>5.1398579432804297E-3</v>
      </c>
      <c r="T21" s="11">
        <v>0.11</v>
      </c>
      <c r="U21" s="30">
        <f t="shared" si="13"/>
        <v>111000.00000000001</v>
      </c>
      <c r="V21" s="30">
        <f t="shared" si="1"/>
        <v>10.343881188118814</v>
      </c>
      <c r="W21" s="11">
        <f t="shared" si="14"/>
        <v>427.06332323020354</v>
      </c>
      <c r="X21" s="2">
        <f t="shared" si="15"/>
        <v>1.5456110936008907E-14</v>
      </c>
      <c r="Y21" s="2">
        <f t="shared" si="16"/>
        <v>9307670005.6645641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</row>
    <row r="22" spans="1:76" s="4" customFormat="1" x14ac:dyDescent="0.3">
      <c r="A22" s="26">
        <v>60</v>
      </c>
      <c r="B22" s="26">
        <f t="shared" si="2"/>
        <v>1</v>
      </c>
      <c r="C22" s="26">
        <v>20</v>
      </c>
      <c r="D22" s="26">
        <f t="shared" si="0"/>
        <v>29.146000000000001</v>
      </c>
      <c r="E22" s="26">
        <f t="shared" si="3"/>
        <v>4.8576666666666667E-7</v>
      </c>
      <c r="F22" s="26">
        <v>21.1</v>
      </c>
      <c r="G22" s="26">
        <f t="shared" si="4"/>
        <v>294.10000000000002</v>
      </c>
      <c r="H22" s="26">
        <v>101.3</v>
      </c>
      <c r="I22" s="26">
        <f t="shared" si="5"/>
        <v>101300</v>
      </c>
      <c r="J22" s="26">
        <f t="shared" si="6"/>
        <v>2.0124824921938581E-5</v>
      </c>
      <c r="K22" s="28">
        <v>98.831683168316843</v>
      </c>
      <c r="L22" s="27">
        <f t="shared" si="7"/>
        <v>9.8831683168316842E-5</v>
      </c>
      <c r="M22" s="29">
        <f t="shared" si="8"/>
        <v>4.7762865441819992E-3</v>
      </c>
      <c r="N22" s="27">
        <f t="shared" si="9"/>
        <v>4.1642608794601068E-7</v>
      </c>
      <c r="O22" s="21">
        <f t="shared" si="10"/>
        <v>2.032E-3</v>
      </c>
      <c r="P22" s="21">
        <v>4.5724343480153871E-11</v>
      </c>
      <c r="Q22" s="2">
        <v>0.31</v>
      </c>
      <c r="R22" s="27">
        <f t="shared" si="11"/>
        <v>131000</v>
      </c>
      <c r="S22" s="2">
        <f t="shared" si="12"/>
        <v>5.1398579432804297E-3</v>
      </c>
      <c r="T22" s="11">
        <v>0.11</v>
      </c>
      <c r="U22" s="30">
        <f t="shared" si="13"/>
        <v>111000.00000000001</v>
      </c>
      <c r="V22" s="30">
        <f t="shared" si="1"/>
        <v>10.970316831683171</v>
      </c>
      <c r="W22" s="11">
        <f t="shared" si="14"/>
        <v>476.03450070075911</v>
      </c>
      <c r="X22" s="2">
        <f t="shared" si="15"/>
        <v>1.6398298410034051E-14</v>
      </c>
      <c r="Y22" s="2">
        <f t="shared" si="16"/>
        <v>9875055302.5225048</v>
      </c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</row>
    <row r="23" spans="1:76" s="4" customFormat="1" x14ac:dyDescent="0.3">
      <c r="A23" s="26">
        <v>63</v>
      </c>
      <c r="B23" s="26">
        <f t="shared" si="2"/>
        <v>1.05</v>
      </c>
      <c r="C23" s="26">
        <v>20</v>
      </c>
      <c r="D23" s="26">
        <f t="shared" si="0"/>
        <v>29.146000000000001</v>
      </c>
      <c r="E23" s="26">
        <f t="shared" si="3"/>
        <v>4.8576666666666667E-7</v>
      </c>
      <c r="F23" s="26">
        <v>21.1</v>
      </c>
      <c r="G23" s="26">
        <f t="shared" si="4"/>
        <v>294.10000000000002</v>
      </c>
      <c r="H23" s="26">
        <v>101.3</v>
      </c>
      <c r="I23" s="26">
        <f t="shared" si="5"/>
        <v>101300</v>
      </c>
      <c r="J23" s="26">
        <f t="shared" si="6"/>
        <v>2.0124824921938581E-5</v>
      </c>
      <c r="K23" s="28">
        <v>86.727722772277232</v>
      </c>
      <c r="L23" s="27">
        <f t="shared" si="7"/>
        <v>8.6727722772277234E-5</v>
      </c>
      <c r="M23" s="29">
        <f t="shared" si="8"/>
        <v>4.7762865441819992E-3</v>
      </c>
      <c r="N23" s="27">
        <f t="shared" si="9"/>
        <v>3.654261988943178E-7</v>
      </c>
      <c r="O23" s="21">
        <f t="shared" si="10"/>
        <v>2.032E-3</v>
      </c>
      <c r="P23" s="21">
        <v>4.5724343480153871E-11</v>
      </c>
      <c r="Q23" s="2">
        <v>0.31</v>
      </c>
      <c r="R23" s="27">
        <f t="shared" si="11"/>
        <v>131000</v>
      </c>
      <c r="S23" s="2">
        <f t="shared" si="12"/>
        <v>5.1398579432804297E-3</v>
      </c>
      <c r="T23" s="11">
        <v>0.11</v>
      </c>
      <c r="U23" s="30">
        <f t="shared" si="13"/>
        <v>111000.00000000001</v>
      </c>
      <c r="V23" s="30">
        <f t="shared" si="1"/>
        <v>9.6267772277227746</v>
      </c>
      <c r="W23" s="11">
        <f t="shared" si="14"/>
        <v>374.12559161789028</v>
      </c>
      <c r="X23" s="2">
        <f t="shared" si="15"/>
        <v>1.4378765000245688E-14</v>
      </c>
      <c r="Y23" s="2">
        <f t="shared" si="16"/>
        <v>8658892283.147953</v>
      </c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</row>
    <row r="24" spans="1:76" s="4" customFormat="1" x14ac:dyDescent="0.3">
      <c r="A24" s="26">
        <v>66</v>
      </c>
      <c r="B24" s="26">
        <f t="shared" si="2"/>
        <v>1.1000000000000001</v>
      </c>
      <c r="C24" s="26">
        <v>20</v>
      </c>
      <c r="D24" s="26">
        <f t="shared" si="0"/>
        <v>29.146000000000001</v>
      </c>
      <c r="E24" s="26">
        <f t="shared" si="3"/>
        <v>4.8576666666666667E-7</v>
      </c>
      <c r="F24" s="26">
        <v>21.1</v>
      </c>
      <c r="G24" s="26">
        <f t="shared" si="4"/>
        <v>294.10000000000002</v>
      </c>
      <c r="H24" s="26">
        <v>101.3</v>
      </c>
      <c r="I24" s="26">
        <f t="shared" si="5"/>
        <v>101300</v>
      </c>
      <c r="J24" s="26">
        <f t="shared" si="6"/>
        <v>2.0124824921938581E-5</v>
      </c>
      <c r="K24" s="28">
        <v>103.23762376237626</v>
      </c>
      <c r="L24" s="27">
        <f t="shared" si="7"/>
        <v>1.0323762376237627E-4</v>
      </c>
      <c r="M24" s="29">
        <f t="shared" si="8"/>
        <v>4.7762865441819992E-3</v>
      </c>
      <c r="N24" s="27">
        <f t="shared" si="9"/>
        <v>4.3499046473783345E-7</v>
      </c>
      <c r="O24" s="21">
        <f t="shared" si="10"/>
        <v>2.032E-3</v>
      </c>
      <c r="P24" s="21">
        <v>4.5724343480153871E-11</v>
      </c>
      <c r="Q24" s="2">
        <v>0.31</v>
      </c>
      <c r="R24" s="27">
        <f t="shared" si="11"/>
        <v>131000</v>
      </c>
      <c r="S24" s="2">
        <f t="shared" si="12"/>
        <v>5.1398579432804297E-3</v>
      </c>
      <c r="T24" s="11">
        <v>0.11</v>
      </c>
      <c r="U24" s="30">
        <f t="shared" si="13"/>
        <v>111000.00000000001</v>
      </c>
      <c r="V24" s="30">
        <f t="shared" si="1"/>
        <v>11.459376237623767</v>
      </c>
      <c r="W24" s="11">
        <f t="shared" si="14"/>
        <v>516.02770074514535</v>
      </c>
      <c r="X24" s="2">
        <f t="shared" si="15"/>
        <v>1.7134588685776597E-14</v>
      </c>
      <c r="Y24" s="2">
        <f t="shared" si="16"/>
        <v>10318449306.574667</v>
      </c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</row>
    <row r="25" spans="1:76" s="4" customFormat="1" x14ac:dyDescent="0.3">
      <c r="A25" s="26">
        <v>69</v>
      </c>
      <c r="B25" s="26">
        <f t="shared" si="2"/>
        <v>1.1499999999999999</v>
      </c>
      <c r="C25" s="26">
        <v>20</v>
      </c>
      <c r="D25" s="26">
        <f t="shared" si="0"/>
        <v>29.146000000000001</v>
      </c>
      <c r="E25" s="26">
        <f t="shared" si="3"/>
        <v>4.8576666666666667E-7</v>
      </c>
      <c r="F25" s="26">
        <v>21.1</v>
      </c>
      <c r="G25" s="26">
        <f t="shared" si="4"/>
        <v>294.10000000000002</v>
      </c>
      <c r="H25" s="26">
        <v>101.3</v>
      </c>
      <c r="I25" s="26">
        <f t="shared" si="5"/>
        <v>101300</v>
      </c>
      <c r="J25" s="26">
        <f t="shared" si="6"/>
        <v>2.0124824921938581E-5</v>
      </c>
      <c r="K25" s="28">
        <v>112.02475247524754</v>
      </c>
      <c r="L25" s="27">
        <f t="shared" si="7"/>
        <v>1.1202475247524754E-4</v>
      </c>
      <c r="M25" s="29">
        <f t="shared" si="8"/>
        <v>4.7762865441819992E-3</v>
      </c>
      <c r="N25" s="27">
        <f t="shared" si="9"/>
        <v>4.7201492406983953E-7</v>
      </c>
      <c r="O25" s="21">
        <f t="shared" si="10"/>
        <v>2.032E-3</v>
      </c>
      <c r="P25" s="21">
        <v>4.5724343480153871E-11</v>
      </c>
      <c r="Q25" s="2">
        <v>0.31</v>
      </c>
      <c r="R25" s="27">
        <f t="shared" si="11"/>
        <v>131000</v>
      </c>
      <c r="S25" s="2">
        <f t="shared" si="12"/>
        <v>5.1398579432804297E-3</v>
      </c>
      <c r="T25" s="11">
        <v>0.11</v>
      </c>
      <c r="U25" s="30">
        <f t="shared" si="13"/>
        <v>111000.00000000001</v>
      </c>
      <c r="V25" s="30">
        <f t="shared" si="1"/>
        <v>12.434747524752479</v>
      </c>
      <c r="W25" s="11">
        <f t="shared" si="14"/>
        <v>600.38436591746745</v>
      </c>
      <c r="X25" s="2">
        <f t="shared" si="15"/>
        <v>1.8605036870930523E-14</v>
      </c>
      <c r="Y25" s="2">
        <f t="shared" si="16"/>
        <v>11203953203.674362</v>
      </c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</row>
    <row r="26" spans="1:76" s="4" customFormat="1" x14ac:dyDescent="0.3">
      <c r="A26" s="26">
        <v>72</v>
      </c>
      <c r="B26" s="26">
        <f t="shared" si="2"/>
        <v>1.2</v>
      </c>
      <c r="C26" s="26">
        <v>20</v>
      </c>
      <c r="D26" s="26">
        <f t="shared" si="0"/>
        <v>29.146000000000001</v>
      </c>
      <c r="E26" s="26">
        <f t="shared" si="3"/>
        <v>4.8576666666666667E-7</v>
      </c>
      <c r="F26" s="26">
        <v>21.1</v>
      </c>
      <c r="G26" s="26">
        <f t="shared" si="4"/>
        <v>294.10000000000002</v>
      </c>
      <c r="H26" s="26">
        <v>101.3</v>
      </c>
      <c r="I26" s="26">
        <f t="shared" si="5"/>
        <v>101300</v>
      </c>
      <c r="J26" s="26">
        <f t="shared" si="6"/>
        <v>2.0124824921938581E-5</v>
      </c>
      <c r="K26" s="28">
        <v>113.95544554455448</v>
      </c>
      <c r="L26" s="27">
        <f t="shared" si="7"/>
        <v>1.1395544554455447E-4</v>
      </c>
      <c r="M26" s="29">
        <f t="shared" si="8"/>
        <v>4.7762865441819992E-3</v>
      </c>
      <c r="N26" s="27">
        <f t="shared" si="9"/>
        <v>4.8014987569771686E-7</v>
      </c>
      <c r="O26" s="21">
        <f t="shared" si="10"/>
        <v>2.032E-3</v>
      </c>
      <c r="P26" s="21">
        <v>4.5724343480153871E-11</v>
      </c>
      <c r="Q26" s="2">
        <v>0.31</v>
      </c>
      <c r="R26" s="27">
        <f t="shared" si="11"/>
        <v>131000</v>
      </c>
      <c r="S26" s="2">
        <f t="shared" si="12"/>
        <v>5.1398579432804297E-3</v>
      </c>
      <c r="T26" s="11">
        <v>0.11</v>
      </c>
      <c r="U26" s="30">
        <f t="shared" si="13"/>
        <v>111000.00000000001</v>
      </c>
      <c r="V26" s="30">
        <f t="shared" si="1"/>
        <v>12.649054455445548</v>
      </c>
      <c r="W26" s="11">
        <f t="shared" si="14"/>
        <v>619.73703901903787</v>
      </c>
      <c r="X26" s="2">
        <f t="shared" si="15"/>
        <v>1.8928494977100886E-14</v>
      </c>
      <c r="Y26" s="2">
        <f t="shared" si="16"/>
        <v>11398739675.210154</v>
      </c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</row>
    <row r="27" spans="1:76" s="4" customFormat="1" x14ac:dyDescent="0.3">
      <c r="A27" s="26">
        <v>75</v>
      </c>
      <c r="B27" s="26">
        <f t="shared" si="2"/>
        <v>1.25</v>
      </c>
      <c r="C27" s="26">
        <v>20</v>
      </c>
      <c r="D27" s="26">
        <f t="shared" si="0"/>
        <v>29.146000000000001</v>
      </c>
      <c r="E27" s="26">
        <f t="shared" si="3"/>
        <v>4.8576666666666667E-7</v>
      </c>
      <c r="F27" s="26">
        <v>21.1</v>
      </c>
      <c r="G27" s="26">
        <f t="shared" si="4"/>
        <v>294.10000000000002</v>
      </c>
      <c r="H27" s="26">
        <v>101.3</v>
      </c>
      <c r="I27" s="26">
        <f t="shared" si="5"/>
        <v>101300</v>
      </c>
      <c r="J27" s="26">
        <f t="shared" si="6"/>
        <v>2.0124824921938581E-5</v>
      </c>
      <c r="K27" s="28">
        <v>116.65346534653467</v>
      </c>
      <c r="L27" s="27">
        <f t="shared" si="7"/>
        <v>1.1665346534653467E-4</v>
      </c>
      <c r="M27" s="29">
        <f t="shared" si="8"/>
        <v>4.7762865441819992E-3</v>
      </c>
      <c r="N27" s="27">
        <f t="shared" si="9"/>
        <v>4.9151794912641731E-7</v>
      </c>
      <c r="O27" s="21">
        <f t="shared" si="10"/>
        <v>2.032E-3</v>
      </c>
      <c r="P27" s="21">
        <v>4.5724343480153871E-11</v>
      </c>
      <c r="Q27" s="2">
        <v>0.31</v>
      </c>
      <c r="R27" s="27">
        <f t="shared" si="11"/>
        <v>131000</v>
      </c>
      <c r="S27" s="2">
        <f t="shared" si="12"/>
        <v>5.1398579432804297E-3</v>
      </c>
      <c r="T27" s="11">
        <v>0.11</v>
      </c>
      <c r="U27" s="30">
        <f t="shared" si="13"/>
        <v>111000.00000000001</v>
      </c>
      <c r="V27" s="30">
        <f t="shared" si="1"/>
        <v>12.94853465346535</v>
      </c>
      <c r="W27" s="11">
        <f t="shared" si="14"/>
        <v>647.2737019794024</v>
      </c>
      <c r="X27" s="2">
        <f t="shared" si="15"/>
        <v>1.9380741061805353E-14</v>
      </c>
      <c r="Y27" s="2">
        <f t="shared" si="16"/>
        <v>11671082267.419184</v>
      </c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</row>
    <row r="28" spans="1:76" s="4" customFormat="1" x14ac:dyDescent="0.3">
      <c r="A28" s="26">
        <v>78</v>
      </c>
      <c r="B28" s="26">
        <f t="shared" si="2"/>
        <v>1.3</v>
      </c>
      <c r="C28" s="26">
        <v>20</v>
      </c>
      <c r="D28" s="26">
        <f t="shared" si="0"/>
        <v>29.146000000000001</v>
      </c>
      <c r="E28" s="26">
        <f t="shared" si="3"/>
        <v>4.8576666666666667E-7</v>
      </c>
      <c r="F28" s="26">
        <v>21.1</v>
      </c>
      <c r="G28" s="26">
        <f t="shared" si="4"/>
        <v>294.10000000000002</v>
      </c>
      <c r="H28" s="26">
        <v>101.3</v>
      </c>
      <c r="I28" s="26">
        <f t="shared" si="5"/>
        <v>101300</v>
      </c>
      <c r="J28" s="26">
        <f t="shared" si="6"/>
        <v>2.0124824921938581E-5</v>
      </c>
      <c r="K28" s="28">
        <v>117.64356435643566</v>
      </c>
      <c r="L28" s="27">
        <f t="shared" si="7"/>
        <v>1.1764356435643566E-4</v>
      </c>
      <c r="M28" s="29">
        <f t="shared" si="8"/>
        <v>4.7762865441819992E-3</v>
      </c>
      <c r="N28" s="27">
        <f t="shared" si="9"/>
        <v>4.9568971919199542E-7</v>
      </c>
      <c r="O28" s="21">
        <f t="shared" si="10"/>
        <v>2.032E-3</v>
      </c>
      <c r="P28" s="21">
        <v>4.5724343480153871E-11</v>
      </c>
      <c r="Q28" s="2">
        <v>0.31</v>
      </c>
      <c r="R28" s="27">
        <f t="shared" si="11"/>
        <v>131000</v>
      </c>
      <c r="S28" s="2">
        <f t="shared" si="12"/>
        <v>5.1398579432804297E-3</v>
      </c>
      <c r="T28" s="11">
        <v>0.11</v>
      </c>
      <c r="U28" s="30">
        <f t="shared" si="13"/>
        <v>111000.00000000001</v>
      </c>
      <c r="V28" s="30">
        <f t="shared" si="1"/>
        <v>13.05843564356436</v>
      </c>
      <c r="W28" s="11">
        <f t="shared" si="14"/>
        <v>657.52278954846031</v>
      </c>
      <c r="X28" s="2">
        <f t="shared" si="15"/>
        <v>1.9546772434574606E-14</v>
      </c>
      <c r="Y28" s="2">
        <f t="shared" si="16"/>
        <v>11771066360.100828</v>
      </c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</row>
    <row r="29" spans="1:76" s="4" customFormat="1" x14ac:dyDescent="0.3">
      <c r="A29" s="26">
        <v>81</v>
      </c>
      <c r="B29" s="26">
        <f t="shared" si="2"/>
        <v>1.35</v>
      </c>
      <c r="C29" s="26">
        <v>20</v>
      </c>
      <c r="D29" s="26">
        <f t="shared" si="0"/>
        <v>29.146000000000001</v>
      </c>
      <c r="E29" s="26">
        <f t="shared" si="3"/>
        <v>4.8576666666666667E-7</v>
      </c>
      <c r="F29" s="26">
        <v>21.1</v>
      </c>
      <c r="G29" s="26">
        <f t="shared" si="4"/>
        <v>294.10000000000002</v>
      </c>
      <c r="H29" s="26">
        <v>101.3</v>
      </c>
      <c r="I29" s="26">
        <f t="shared" si="5"/>
        <v>101300</v>
      </c>
      <c r="J29" s="26">
        <f t="shared" si="6"/>
        <v>2.0124824921938581E-5</v>
      </c>
      <c r="K29" s="28">
        <v>130.29207920792081</v>
      </c>
      <c r="L29" s="27">
        <f t="shared" si="7"/>
        <v>1.302920792079208E-4</v>
      </c>
      <c r="M29" s="29">
        <f t="shared" si="8"/>
        <v>4.7762865441819992E-3</v>
      </c>
      <c r="N29" s="27">
        <f t="shared" si="9"/>
        <v>5.4898408177975631E-7</v>
      </c>
      <c r="O29" s="21">
        <f t="shared" si="10"/>
        <v>2.032E-3</v>
      </c>
      <c r="P29" s="21">
        <v>4.5724343480153871E-11</v>
      </c>
      <c r="Q29" s="2">
        <v>0.31</v>
      </c>
      <c r="R29" s="27">
        <f t="shared" si="11"/>
        <v>131000</v>
      </c>
      <c r="S29" s="2">
        <f t="shared" si="12"/>
        <v>5.1398579432804297E-3</v>
      </c>
      <c r="T29" s="11">
        <v>0.11</v>
      </c>
      <c r="U29" s="30">
        <f t="shared" si="13"/>
        <v>111000.00000000001</v>
      </c>
      <c r="V29" s="30">
        <f t="shared" si="1"/>
        <v>14.462420792079211</v>
      </c>
      <c r="W29" s="11">
        <f t="shared" si="14"/>
        <v>795.23569827250083</v>
      </c>
      <c r="X29" s="2">
        <f t="shared" si="15"/>
        <v>2.1671251498381282E-14</v>
      </c>
      <c r="Y29" s="2">
        <f t="shared" si="16"/>
        <v>13050427652.325209</v>
      </c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</row>
    <row r="30" spans="1:76" s="4" customFormat="1" x14ac:dyDescent="0.3">
      <c r="A30" s="26">
        <v>84</v>
      </c>
      <c r="B30" s="26">
        <f t="shared" si="2"/>
        <v>1.4</v>
      </c>
      <c r="C30" s="26">
        <v>20</v>
      </c>
      <c r="D30" s="26">
        <f t="shared" si="0"/>
        <v>29.146000000000001</v>
      </c>
      <c r="E30" s="26">
        <f t="shared" si="3"/>
        <v>4.8576666666666667E-7</v>
      </c>
      <c r="F30" s="26">
        <v>21.1</v>
      </c>
      <c r="G30" s="26">
        <f t="shared" si="4"/>
        <v>294.10000000000002</v>
      </c>
      <c r="H30" s="26">
        <v>101.3</v>
      </c>
      <c r="I30" s="26">
        <f t="shared" si="5"/>
        <v>101300</v>
      </c>
      <c r="J30" s="26">
        <f t="shared" si="6"/>
        <v>2.0124824921938581E-5</v>
      </c>
      <c r="K30" s="28">
        <v>128.06435643564359</v>
      </c>
      <c r="L30" s="27">
        <f t="shared" si="7"/>
        <v>1.2806435643564359E-4</v>
      </c>
      <c r="M30" s="29">
        <f t="shared" si="8"/>
        <v>4.7762865441819992E-3</v>
      </c>
      <c r="N30" s="27">
        <f t="shared" si="9"/>
        <v>5.395975991322055E-7</v>
      </c>
      <c r="O30" s="21">
        <f t="shared" si="10"/>
        <v>2.032E-3</v>
      </c>
      <c r="P30" s="21">
        <v>4.5724343480153871E-11</v>
      </c>
      <c r="Q30" s="2">
        <v>0.31</v>
      </c>
      <c r="R30" s="27">
        <f t="shared" si="11"/>
        <v>131000</v>
      </c>
      <c r="S30" s="2">
        <f t="shared" si="12"/>
        <v>5.1398579432804297E-3</v>
      </c>
      <c r="T30" s="11">
        <v>0.11</v>
      </c>
      <c r="U30" s="30">
        <f t="shared" si="13"/>
        <v>111000.00000000001</v>
      </c>
      <c r="V30" s="30">
        <f t="shared" si="1"/>
        <v>14.21514356435644</v>
      </c>
      <c r="W30" s="11">
        <f t="shared" si="14"/>
        <v>770.0699888334201</v>
      </c>
      <c r="X30" s="2">
        <f t="shared" si="15"/>
        <v>2.1296602139284766E-14</v>
      </c>
      <c r="Y30" s="2">
        <f t="shared" si="16"/>
        <v>12824813808.277287</v>
      </c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</row>
    <row r="31" spans="1:76" s="4" customFormat="1" x14ac:dyDescent="0.3">
      <c r="A31" s="26">
        <v>87</v>
      </c>
      <c r="B31" s="26">
        <f t="shared" si="2"/>
        <v>1.45</v>
      </c>
      <c r="C31" s="26">
        <v>20</v>
      </c>
      <c r="D31" s="26">
        <f t="shared" si="0"/>
        <v>29.146000000000001</v>
      </c>
      <c r="E31" s="26">
        <f t="shared" si="3"/>
        <v>4.8576666666666667E-7</v>
      </c>
      <c r="F31" s="26">
        <v>21.1</v>
      </c>
      <c r="G31" s="26">
        <f t="shared" si="4"/>
        <v>294.10000000000002</v>
      </c>
      <c r="H31" s="26">
        <v>101.3</v>
      </c>
      <c r="I31" s="26">
        <f t="shared" si="5"/>
        <v>101300</v>
      </c>
      <c r="J31" s="26">
        <f t="shared" si="6"/>
        <v>2.0124824921938581E-5</v>
      </c>
      <c r="K31" s="28">
        <v>129.20297029702971</v>
      </c>
      <c r="L31" s="27">
        <f t="shared" si="7"/>
        <v>1.2920297029702971E-4</v>
      </c>
      <c r="M31" s="29">
        <f t="shared" si="8"/>
        <v>4.7762865441819992E-3</v>
      </c>
      <c r="N31" s="27">
        <f t="shared" si="9"/>
        <v>5.4439513470762039E-7</v>
      </c>
      <c r="O31" s="21">
        <f t="shared" si="10"/>
        <v>2.032E-3</v>
      </c>
      <c r="P31" s="21">
        <v>4.5724343480153871E-11</v>
      </c>
      <c r="Q31" s="2">
        <v>0.31</v>
      </c>
      <c r="R31" s="27">
        <f t="shared" si="11"/>
        <v>131000</v>
      </c>
      <c r="S31" s="2">
        <f t="shared" si="12"/>
        <v>5.1398579432804297E-3</v>
      </c>
      <c r="T31" s="11">
        <v>0.11</v>
      </c>
      <c r="U31" s="30">
        <f t="shared" si="13"/>
        <v>111000.00000000001</v>
      </c>
      <c r="V31" s="30">
        <f t="shared" si="1"/>
        <v>14.3415297029703</v>
      </c>
      <c r="W31" s="11">
        <f t="shared" si="14"/>
        <v>782.88387829227383</v>
      </c>
      <c r="X31" s="2">
        <f t="shared" si="15"/>
        <v>2.1488063480033751E-14</v>
      </c>
      <c r="Y31" s="2">
        <f t="shared" si="16"/>
        <v>12940111827.676325</v>
      </c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</row>
    <row r="32" spans="1:76" s="4" customFormat="1" x14ac:dyDescent="0.3">
      <c r="A32" s="26">
        <v>90</v>
      </c>
      <c r="B32" s="26">
        <f t="shared" si="2"/>
        <v>1.5</v>
      </c>
      <c r="C32" s="26">
        <v>20</v>
      </c>
      <c r="D32" s="26">
        <f t="shared" si="0"/>
        <v>29.146000000000001</v>
      </c>
      <c r="E32" s="26">
        <f t="shared" si="3"/>
        <v>4.8576666666666667E-7</v>
      </c>
      <c r="F32" s="26">
        <v>21.1</v>
      </c>
      <c r="G32" s="26">
        <f t="shared" si="4"/>
        <v>294.10000000000002</v>
      </c>
      <c r="H32" s="26">
        <v>101.3</v>
      </c>
      <c r="I32" s="26">
        <f t="shared" si="5"/>
        <v>101300</v>
      </c>
      <c r="J32" s="26">
        <f t="shared" si="6"/>
        <v>2.0124824921938581E-5</v>
      </c>
      <c r="K32" s="28">
        <v>135.66336633663369</v>
      </c>
      <c r="L32" s="27">
        <f t="shared" si="7"/>
        <v>1.356633663366337E-4</v>
      </c>
      <c r="M32" s="29">
        <f t="shared" si="8"/>
        <v>4.7762865441819992E-3</v>
      </c>
      <c r="N32" s="27">
        <f t="shared" si="9"/>
        <v>5.7161593438551778E-7</v>
      </c>
      <c r="O32" s="21">
        <f t="shared" si="10"/>
        <v>2.032E-3</v>
      </c>
      <c r="P32" s="21">
        <v>4.5724343480153871E-11</v>
      </c>
      <c r="Q32" s="2">
        <v>0.31</v>
      </c>
      <c r="R32" s="27">
        <f t="shared" si="11"/>
        <v>131000</v>
      </c>
      <c r="S32" s="2">
        <f t="shared" si="12"/>
        <v>5.1398579432804297E-3</v>
      </c>
      <c r="T32" s="11">
        <v>0.11</v>
      </c>
      <c r="U32" s="30">
        <f t="shared" si="13"/>
        <v>111000.00000000001</v>
      </c>
      <c r="V32" s="30">
        <f t="shared" si="1"/>
        <v>15.058633663366342</v>
      </c>
      <c r="W32" s="11">
        <f t="shared" si="14"/>
        <v>857.51077286009388</v>
      </c>
      <c r="X32" s="2">
        <f t="shared" si="15"/>
        <v>2.2575445715728425E-14</v>
      </c>
      <c r="Y32" s="2">
        <f t="shared" si="16"/>
        <v>13594933410.011658</v>
      </c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</row>
    <row r="33" spans="1:76" s="4" customFormat="1" x14ac:dyDescent="0.3">
      <c r="A33" s="26">
        <v>93</v>
      </c>
      <c r="B33" s="26">
        <f t="shared" si="2"/>
        <v>1.55</v>
      </c>
      <c r="C33" s="26">
        <v>20</v>
      </c>
      <c r="D33" s="26">
        <f t="shared" si="0"/>
        <v>29.146000000000001</v>
      </c>
      <c r="E33" s="26">
        <f t="shared" si="3"/>
        <v>4.8576666666666667E-7</v>
      </c>
      <c r="F33" s="26">
        <v>21.1</v>
      </c>
      <c r="G33" s="26">
        <f t="shared" si="4"/>
        <v>294.10000000000002</v>
      </c>
      <c r="H33" s="26">
        <v>101.3</v>
      </c>
      <c r="I33" s="26">
        <f t="shared" si="5"/>
        <v>101300</v>
      </c>
      <c r="J33" s="26">
        <f t="shared" si="6"/>
        <v>2.0124824921938581E-5</v>
      </c>
      <c r="K33" s="28">
        <v>139.25247524752479</v>
      </c>
      <c r="L33" s="27">
        <f t="shared" si="7"/>
        <v>1.3925247524752479E-4</v>
      </c>
      <c r="M33" s="29">
        <f t="shared" si="8"/>
        <v>4.7762865441819992E-3</v>
      </c>
      <c r="N33" s="27">
        <f t="shared" si="9"/>
        <v>5.8673860087323864E-7</v>
      </c>
      <c r="O33" s="21">
        <f t="shared" si="10"/>
        <v>2.032E-3</v>
      </c>
      <c r="P33" s="21">
        <v>4.5724343480153871E-11</v>
      </c>
      <c r="Q33" s="2">
        <v>0.31</v>
      </c>
      <c r="R33" s="27">
        <f t="shared" si="11"/>
        <v>131000</v>
      </c>
      <c r="S33" s="2">
        <f t="shared" si="12"/>
        <v>5.1398579432804297E-3</v>
      </c>
      <c r="T33" s="11">
        <v>0.11</v>
      </c>
      <c r="U33" s="30">
        <f t="shared" si="13"/>
        <v>111000.00000000001</v>
      </c>
      <c r="V33" s="30">
        <f t="shared" si="1"/>
        <v>15.457024752475254</v>
      </c>
      <c r="W33" s="11">
        <f t="shared" si="14"/>
        <v>900.38021728003287</v>
      </c>
      <c r="X33" s="2">
        <f t="shared" si="15"/>
        <v>2.3180337216697372E-14</v>
      </c>
      <c r="Y33" s="2">
        <f t="shared" si="16"/>
        <v>13959199071.895159</v>
      </c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</row>
    <row r="34" spans="1:76" s="4" customFormat="1" x14ac:dyDescent="0.3">
      <c r="A34" s="26">
        <v>96</v>
      </c>
      <c r="B34" s="26">
        <f t="shared" si="2"/>
        <v>1.6</v>
      </c>
      <c r="C34" s="26">
        <v>20</v>
      </c>
      <c r="D34" s="26">
        <f t="shared" si="0"/>
        <v>29.146000000000001</v>
      </c>
      <c r="E34" s="26">
        <f t="shared" si="3"/>
        <v>4.8576666666666667E-7</v>
      </c>
      <c r="F34" s="26">
        <v>21.1</v>
      </c>
      <c r="G34" s="26">
        <f t="shared" si="4"/>
        <v>294.10000000000002</v>
      </c>
      <c r="H34" s="26">
        <v>101.3</v>
      </c>
      <c r="I34" s="26">
        <f t="shared" si="5"/>
        <v>101300</v>
      </c>
      <c r="J34" s="26">
        <f t="shared" si="6"/>
        <v>2.0124824921938581E-5</v>
      </c>
      <c r="K34" s="28">
        <v>134.92079207920793</v>
      </c>
      <c r="L34" s="27">
        <f t="shared" si="7"/>
        <v>1.3492079207920793E-4</v>
      </c>
      <c r="M34" s="29">
        <f t="shared" si="8"/>
        <v>4.7762865441819992E-3</v>
      </c>
      <c r="N34" s="27">
        <f t="shared" si="9"/>
        <v>5.6848710683633414E-7</v>
      </c>
      <c r="O34" s="21">
        <f t="shared" si="10"/>
        <v>2.032E-3</v>
      </c>
      <c r="P34" s="21">
        <v>4.5724343480153871E-11</v>
      </c>
      <c r="Q34" s="2">
        <v>0.31</v>
      </c>
      <c r="R34" s="27">
        <f t="shared" si="11"/>
        <v>131000</v>
      </c>
      <c r="S34" s="2">
        <f t="shared" si="12"/>
        <v>5.1398579432804297E-3</v>
      </c>
      <c r="T34" s="11">
        <v>0.11</v>
      </c>
      <c r="U34" s="30">
        <f t="shared" si="13"/>
        <v>111000.00000000001</v>
      </c>
      <c r="V34" s="30">
        <f t="shared" si="1"/>
        <v>14.976207920792083</v>
      </c>
      <c r="W34" s="11">
        <f t="shared" si="14"/>
        <v>848.76688931464196</v>
      </c>
      <c r="X34" s="2">
        <f t="shared" si="15"/>
        <v>2.2450367175855459E-14</v>
      </c>
      <c r="Y34" s="2">
        <f t="shared" si="16"/>
        <v>13519611113.300158</v>
      </c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</row>
    <row r="35" spans="1:76" s="4" customFormat="1" x14ac:dyDescent="0.3">
      <c r="A35" s="26">
        <v>99</v>
      </c>
      <c r="B35" s="26">
        <f t="shared" si="2"/>
        <v>1.65</v>
      </c>
      <c r="C35" s="26">
        <v>20</v>
      </c>
      <c r="D35" s="26">
        <f t="shared" si="0"/>
        <v>29.146000000000001</v>
      </c>
      <c r="E35" s="26">
        <f t="shared" si="3"/>
        <v>4.8576666666666667E-7</v>
      </c>
      <c r="F35" s="26">
        <v>21.1</v>
      </c>
      <c r="G35" s="26">
        <f t="shared" si="4"/>
        <v>294.10000000000002</v>
      </c>
      <c r="H35" s="26">
        <v>101.3</v>
      </c>
      <c r="I35" s="26">
        <f t="shared" si="5"/>
        <v>101300</v>
      </c>
      <c r="J35" s="26">
        <f t="shared" si="6"/>
        <v>2.0124824921938581E-5</v>
      </c>
      <c r="K35" s="28">
        <v>145.98514851485149</v>
      </c>
      <c r="L35" s="27">
        <f t="shared" si="7"/>
        <v>1.4598514851485149E-4</v>
      </c>
      <c r="M35" s="29">
        <f t="shared" si="8"/>
        <v>4.7762865441819992E-3</v>
      </c>
      <c r="N35" s="27">
        <f t="shared" si="9"/>
        <v>6.1510663731916994E-7</v>
      </c>
      <c r="O35" s="21">
        <f t="shared" si="10"/>
        <v>2.032E-3</v>
      </c>
      <c r="P35" s="21">
        <v>4.5724343480153871E-11</v>
      </c>
      <c r="Q35" s="2">
        <v>0.31</v>
      </c>
      <c r="R35" s="27">
        <f t="shared" si="11"/>
        <v>131000</v>
      </c>
      <c r="S35" s="2">
        <f t="shared" si="12"/>
        <v>5.1398579432804297E-3</v>
      </c>
      <c r="T35" s="11">
        <v>0.11</v>
      </c>
      <c r="U35" s="30">
        <f t="shared" si="13"/>
        <v>111000.00000000001</v>
      </c>
      <c r="V35" s="30">
        <f t="shared" si="1"/>
        <v>16.204351485148518</v>
      </c>
      <c r="W35" s="11">
        <f t="shared" si="14"/>
        <v>983.50847880484798</v>
      </c>
      <c r="X35" s="2">
        <f t="shared" si="15"/>
        <v>2.4316613214209488E-14</v>
      </c>
      <c r="Y35" s="2">
        <f t="shared" si="16"/>
        <v>14643464477.596954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</row>
    <row r="36" spans="1:76" s="4" customFormat="1" x14ac:dyDescent="0.3">
      <c r="A36" s="26">
        <v>102</v>
      </c>
      <c r="B36" s="26">
        <f t="shared" si="2"/>
        <v>1.7</v>
      </c>
      <c r="C36" s="26">
        <v>20</v>
      </c>
      <c r="D36" s="26">
        <f t="shared" si="0"/>
        <v>29.146000000000001</v>
      </c>
      <c r="E36" s="26">
        <f t="shared" si="3"/>
        <v>4.8576666666666667E-7</v>
      </c>
      <c r="F36" s="26">
        <v>21.1</v>
      </c>
      <c r="G36" s="26">
        <f t="shared" si="4"/>
        <v>294.10000000000002</v>
      </c>
      <c r="H36" s="26">
        <v>101.3</v>
      </c>
      <c r="I36" s="26">
        <f t="shared" si="5"/>
        <v>101300</v>
      </c>
      <c r="J36" s="26">
        <f t="shared" si="6"/>
        <v>2.0124824921938581E-5</v>
      </c>
      <c r="K36" s="28">
        <v>149.67326732673268</v>
      </c>
      <c r="L36" s="27">
        <f t="shared" si="7"/>
        <v>1.4967326732673268E-4</v>
      </c>
      <c r="M36" s="29">
        <f t="shared" si="8"/>
        <v>4.7762865441819992E-3</v>
      </c>
      <c r="N36" s="27">
        <f t="shared" si="9"/>
        <v>6.306464808134485E-7</v>
      </c>
      <c r="O36" s="21">
        <f t="shared" si="10"/>
        <v>2.032E-3</v>
      </c>
      <c r="P36" s="21">
        <v>4.5724343480153871E-11</v>
      </c>
      <c r="Q36" s="2">
        <v>0.31</v>
      </c>
      <c r="R36" s="27">
        <f t="shared" si="11"/>
        <v>131000</v>
      </c>
      <c r="S36" s="2">
        <f t="shared" si="12"/>
        <v>5.1398579432804297E-3</v>
      </c>
      <c r="T36" s="11">
        <v>0.11</v>
      </c>
      <c r="U36" s="30">
        <f t="shared" si="13"/>
        <v>111000.00000000001</v>
      </c>
      <c r="V36" s="30">
        <f t="shared" si="1"/>
        <v>16.613732673267329</v>
      </c>
      <c r="W36" s="11">
        <f t="shared" si="14"/>
        <v>1030.5425541478789</v>
      </c>
      <c r="X36" s="2">
        <f t="shared" si="15"/>
        <v>2.4939961953455862E-14</v>
      </c>
      <c r="Y36" s="2">
        <f t="shared" si="16"/>
        <v>15018845088.37112</v>
      </c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</row>
    <row r="37" spans="1:76" s="4" customFormat="1" x14ac:dyDescent="0.3">
      <c r="A37" s="26">
        <v>105</v>
      </c>
      <c r="B37" s="26">
        <f t="shared" si="2"/>
        <v>1.75</v>
      </c>
      <c r="C37" s="26">
        <v>20</v>
      </c>
      <c r="D37" s="26">
        <f t="shared" si="0"/>
        <v>29.146000000000001</v>
      </c>
      <c r="E37" s="26">
        <f t="shared" si="3"/>
        <v>4.8576666666666667E-7</v>
      </c>
      <c r="F37" s="26">
        <v>21.1</v>
      </c>
      <c r="G37" s="26">
        <f t="shared" si="4"/>
        <v>294.10000000000002</v>
      </c>
      <c r="H37" s="26">
        <v>101.3</v>
      </c>
      <c r="I37" s="26">
        <f t="shared" si="5"/>
        <v>101300</v>
      </c>
      <c r="J37" s="26">
        <f t="shared" si="6"/>
        <v>2.0124824921938581E-5</v>
      </c>
      <c r="K37" s="28">
        <v>150.66336633663369</v>
      </c>
      <c r="L37" s="27">
        <f t="shared" si="7"/>
        <v>1.5066336633663368E-4</v>
      </c>
      <c r="M37" s="29">
        <f t="shared" si="8"/>
        <v>4.7762865441819992E-3</v>
      </c>
      <c r="N37" s="27">
        <f t="shared" si="9"/>
        <v>6.3481825087902673E-7</v>
      </c>
      <c r="O37" s="21">
        <f t="shared" si="10"/>
        <v>2.032E-3</v>
      </c>
      <c r="P37" s="21">
        <v>4.5724343480153871E-11</v>
      </c>
      <c r="Q37" s="2">
        <v>0.31</v>
      </c>
      <c r="R37" s="27">
        <f t="shared" si="11"/>
        <v>131000</v>
      </c>
      <c r="S37" s="2">
        <f t="shared" si="12"/>
        <v>5.1398579432804297E-3</v>
      </c>
      <c r="T37" s="11">
        <v>0.11</v>
      </c>
      <c r="U37" s="30">
        <f t="shared" si="13"/>
        <v>111000.00000000001</v>
      </c>
      <c r="V37" s="30">
        <f t="shared" si="1"/>
        <v>16.723633663366339</v>
      </c>
      <c r="W37" s="11">
        <f t="shared" si="14"/>
        <v>1043.3493231245043</v>
      </c>
      <c r="X37" s="2">
        <f t="shared" si="15"/>
        <v>2.5107415529142678E-14</v>
      </c>
      <c r="Y37" s="2">
        <f t="shared" si="16"/>
        <v>15119685631.649721</v>
      </c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</row>
    <row r="38" spans="1:76" s="4" customFormat="1" x14ac:dyDescent="0.3">
      <c r="A38" s="26">
        <v>108</v>
      </c>
      <c r="B38" s="26">
        <f t="shared" si="2"/>
        <v>1.8</v>
      </c>
      <c r="C38" s="26">
        <v>20</v>
      </c>
      <c r="D38" s="26">
        <f t="shared" si="0"/>
        <v>29.146000000000001</v>
      </c>
      <c r="E38" s="26">
        <f t="shared" si="3"/>
        <v>4.8576666666666667E-7</v>
      </c>
      <c r="F38" s="26">
        <v>21.1</v>
      </c>
      <c r="G38" s="26">
        <f t="shared" si="4"/>
        <v>294.10000000000002</v>
      </c>
      <c r="H38" s="26">
        <v>101.3</v>
      </c>
      <c r="I38" s="26">
        <f t="shared" si="5"/>
        <v>101300</v>
      </c>
      <c r="J38" s="26">
        <f t="shared" si="6"/>
        <v>2.0124824921938581E-5</v>
      </c>
      <c r="K38" s="28">
        <v>152.17326732673268</v>
      </c>
      <c r="L38" s="27">
        <f t="shared" si="7"/>
        <v>1.5217326732673269E-4</v>
      </c>
      <c r="M38" s="29">
        <f t="shared" si="8"/>
        <v>4.7762865441819992E-3</v>
      </c>
      <c r="N38" s="27">
        <f t="shared" si="9"/>
        <v>6.4118020022903333E-7</v>
      </c>
      <c r="O38" s="21">
        <f t="shared" si="10"/>
        <v>2.032E-3</v>
      </c>
      <c r="P38" s="21">
        <v>4.5724343480153871E-11</v>
      </c>
      <c r="Q38" s="2">
        <v>0.31</v>
      </c>
      <c r="R38" s="27">
        <f t="shared" si="11"/>
        <v>131000</v>
      </c>
      <c r="S38" s="2">
        <f t="shared" si="12"/>
        <v>5.1398579432804297E-3</v>
      </c>
      <c r="T38" s="11">
        <v>0.11</v>
      </c>
      <c r="U38" s="30">
        <f t="shared" si="13"/>
        <v>111000.00000000001</v>
      </c>
      <c r="V38" s="30">
        <f t="shared" si="1"/>
        <v>16.891232673267329</v>
      </c>
      <c r="W38" s="11">
        <f t="shared" si="14"/>
        <v>1063.0263765752604</v>
      </c>
      <c r="X38" s="2">
        <f t="shared" si="15"/>
        <v>2.5362874425353051E-14</v>
      </c>
      <c r="Y38" s="2">
        <f t="shared" si="16"/>
        <v>15273522978.947609</v>
      </c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</row>
    <row r="39" spans="1:76" s="4" customFormat="1" x14ac:dyDescent="0.3">
      <c r="A39" s="26">
        <v>111</v>
      </c>
      <c r="B39" s="26">
        <f t="shared" si="2"/>
        <v>1.85</v>
      </c>
      <c r="C39" s="26">
        <v>20</v>
      </c>
      <c r="D39" s="26">
        <f t="shared" si="0"/>
        <v>29.146000000000001</v>
      </c>
      <c r="E39" s="26">
        <f t="shared" si="3"/>
        <v>4.8576666666666667E-7</v>
      </c>
      <c r="F39" s="26">
        <v>21.1</v>
      </c>
      <c r="G39" s="26">
        <f t="shared" si="4"/>
        <v>294.10000000000002</v>
      </c>
      <c r="H39" s="26">
        <v>101.3</v>
      </c>
      <c r="I39" s="26">
        <f t="shared" si="5"/>
        <v>101300</v>
      </c>
      <c r="J39" s="26">
        <f t="shared" si="6"/>
        <v>2.0124824921938581E-5</v>
      </c>
      <c r="K39" s="28">
        <v>152.49504950495052</v>
      </c>
      <c r="L39" s="27">
        <f t="shared" si="7"/>
        <v>1.5249504950495051E-4</v>
      </c>
      <c r="M39" s="29">
        <f t="shared" si="8"/>
        <v>4.7762865441819992E-3</v>
      </c>
      <c r="N39" s="27">
        <f t="shared" si="9"/>
        <v>6.4253602550034619E-7</v>
      </c>
      <c r="O39" s="21">
        <f t="shared" si="10"/>
        <v>2.032E-3</v>
      </c>
      <c r="P39" s="21">
        <v>4.5724343480153871E-11</v>
      </c>
      <c r="Q39" s="2">
        <v>0.31</v>
      </c>
      <c r="R39" s="27">
        <f t="shared" si="11"/>
        <v>131000</v>
      </c>
      <c r="S39" s="2">
        <f t="shared" si="12"/>
        <v>5.1398579432804297E-3</v>
      </c>
      <c r="T39" s="11">
        <v>0.11</v>
      </c>
      <c r="U39" s="30">
        <f t="shared" si="13"/>
        <v>111000.00000000001</v>
      </c>
      <c r="V39" s="30">
        <f t="shared" si="1"/>
        <v>16.92695049504951</v>
      </c>
      <c r="W39" s="11">
        <f t="shared" si="14"/>
        <v>1067.2427510625143</v>
      </c>
      <c r="X39" s="2">
        <f t="shared" si="15"/>
        <v>2.5417330967466999E-14</v>
      </c>
      <c r="Y39" s="2">
        <f t="shared" si="16"/>
        <v>15306316708.608627</v>
      </c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</row>
    <row r="40" spans="1:76" s="4" customFormat="1" x14ac:dyDescent="0.3">
      <c r="A40" s="26">
        <v>114</v>
      </c>
      <c r="B40" s="26">
        <f t="shared" si="2"/>
        <v>1.9</v>
      </c>
      <c r="C40" s="26">
        <v>20</v>
      </c>
      <c r="D40" s="26">
        <f t="shared" si="0"/>
        <v>29.146000000000001</v>
      </c>
      <c r="E40" s="26">
        <f t="shared" si="3"/>
        <v>4.8576666666666667E-7</v>
      </c>
      <c r="F40" s="26">
        <v>21.1</v>
      </c>
      <c r="G40" s="26">
        <f t="shared" si="4"/>
        <v>294.10000000000002</v>
      </c>
      <c r="H40" s="26">
        <v>101.3</v>
      </c>
      <c r="I40" s="26">
        <f t="shared" si="5"/>
        <v>101300</v>
      </c>
      <c r="J40" s="26">
        <f t="shared" si="6"/>
        <v>2.0124824921938581E-5</v>
      </c>
      <c r="K40" s="28">
        <v>158.41089108910893</v>
      </c>
      <c r="L40" s="27">
        <f t="shared" si="7"/>
        <v>1.5841089108910894E-4</v>
      </c>
      <c r="M40" s="29">
        <f t="shared" si="8"/>
        <v>4.7762865441819992E-3</v>
      </c>
      <c r="N40" s="27">
        <f t="shared" si="9"/>
        <v>6.6746235164217578E-7</v>
      </c>
      <c r="O40" s="21">
        <f t="shared" si="10"/>
        <v>2.032E-3</v>
      </c>
      <c r="P40" s="21">
        <v>4.5724343480153871E-11</v>
      </c>
      <c r="Q40" s="2">
        <v>0.31</v>
      </c>
      <c r="R40" s="27">
        <f t="shared" si="11"/>
        <v>131000</v>
      </c>
      <c r="S40" s="2">
        <f t="shared" si="12"/>
        <v>5.1398579432804297E-3</v>
      </c>
      <c r="T40" s="11">
        <v>0.11</v>
      </c>
      <c r="U40" s="30">
        <f t="shared" si="13"/>
        <v>111000.00000000001</v>
      </c>
      <c r="V40" s="30">
        <f t="shared" si="1"/>
        <v>17.583608910891094</v>
      </c>
      <c r="W40" s="11">
        <f t="shared" si="14"/>
        <v>1146.1919584543152</v>
      </c>
      <c r="X40" s="2">
        <f t="shared" si="15"/>
        <v>2.6419415199830414E-14</v>
      </c>
      <c r="Y40" s="2">
        <f t="shared" si="16"/>
        <v>15909771833.337875</v>
      </c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</row>
    <row r="41" spans="1:76" s="4" customFormat="1" x14ac:dyDescent="0.3">
      <c r="A41" s="26">
        <v>117</v>
      </c>
      <c r="B41" s="26">
        <f t="shared" si="2"/>
        <v>1.95</v>
      </c>
      <c r="C41" s="26">
        <v>20</v>
      </c>
      <c r="D41" s="26">
        <f t="shared" si="0"/>
        <v>29.146000000000001</v>
      </c>
      <c r="E41" s="26">
        <f t="shared" si="3"/>
        <v>4.8576666666666667E-7</v>
      </c>
      <c r="F41" s="26">
        <v>21.1</v>
      </c>
      <c r="G41" s="26">
        <f t="shared" si="4"/>
        <v>294.10000000000002</v>
      </c>
      <c r="H41" s="26">
        <v>101.3</v>
      </c>
      <c r="I41" s="26">
        <f t="shared" si="5"/>
        <v>101300</v>
      </c>
      <c r="J41" s="26">
        <f t="shared" si="6"/>
        <v>2.0124824921938581E-5</v>
      </c>
      <c r="K41" s="28">
        <v>161.95049504950498</v>
      </c>
      <c r="L41" s="27">
        <f t="shared" si="7"/>
        <v>1.6195049504950498E-4</v>
      </c>
      <c r="M41" s="29">
        <f t="shared" si="8"/>
        <v>4.7762865441819992E-3</v>
      </c>
      <c r="N41" s="27">
        <f t="shared" si="9"/>
        <v>6.8237642962661757E-7</v>
      </c>
      <c r="O41" s="21">
        <f t="shared" si="10"/>
        <v>2.032E-3</v>
      </c>
      <c r="P41" s="21">
        <v>4.5724343480153871E-11</v>
      </c>
      <c r="Q41" s="2">
        <v>0.31</v>
      </c>
      <c r="R41" s="27">
        <f t="shared" si="11"/>
        <v>131000</v>
      </c>
      <c r="S41" s="2">
        <f t="shared" si="12"/>
        <v>5.1398579432804297E-3</v>
      </c>
      <c r="T41" s="11">
        <v>0.11</v>
      </c>
      <c r="U41" s="30">
        <f t="shared" si="13"/>
        <v>111000.00000000001</v>
      </c>
      <c r="V41" s="30">
        <f t="shared" si="1"/>
        <v>17.976504950495055</v>
      </c>
      <c r="W41" s="11">
        <f t="shared" si="14"/>
        <v>1194.7275598369367</v>
      </c>
      <c r="X41" s="2">
        <f t="shared" si="15"/>
        <v>2.7019841692027524E-14</v>
      </c>
      <c r="Y41" s="2">
        <f t="shared" si="16"/>
        <v>16271348666.938976</v>
      </c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</row>
    <row r="42" spans="1:76" s="4" customFormat="1" x14ac:dyDescent="0.3">
      <c r="A42" s="26">
        <v>120</v>
      </c>
      <c r="B42" s="26">
        <f t="shared" si="2"/>
        <v>2</v>
      </c>
      <c r="C42" s="26">
        <v>20</v>
      </c>
      <c r="D42" s="26">
        <f t="shared" si="0"/>
        <v>29.146000000000001</v>
      </c>
      <c r="E42" s="26">
        <f t="shared" si="3"/>
        <v>4.8576666666666667E-7</v>
      </c>
      <c r="F42" s="26">
        <v>21.1</v>
      </c>
      <c r="G42" s="26">
        <f t="shared" si="4"/>
        <v>294.10000000000002</v>
      </c>
      <c r="H42" s="26">
        <v>101.3</v>
      </c>
      <c r="I42" s="26">
        <f t="shared" si="5"/>
        <v>101300</v>
      </c>
      <c r="J42" s="26">
        <f t="shared" si="6"/>
        <v>2.0124824921938581E-5</v>
      </c>
      <c r="K42" s="28">
        <v>165.06930693069307</v>
      </c>
      <c r="L42" s="27">
        <f t="shared" si="7"/>
        <v>1.6506930693069308E-4</v>
      </c>
      <c r="M42" s="29">
        <f t="shared" si="8"/>
        <v>4.7762865441819992E-3</v>
      </c>
      <c r="N42" s="27">
        <f t="shared" si="9"/>
        <v>6.9551750533318869E-7</v>
      </c>
      <c r="O42" s="21">
        <f t="shared" si="10"/>
        <v>2.032E-3</v>
      </c>
      <c r="P42" s="21">
        <v>4.5724343480153871E-11</v>
      </c>
      <c r="Q42" s="2">
        <v>0.31</v>
      </c>
      <c r="R42" s="27">
        <f t="shared" si="11"/>
        <v>131000</v>
      </c>
      <c r="S42" s="2">
        <f t="shared" si="12"/>
        <v>5.1398579432804297E-3</v>
      </c>
      <c r="T42" s="11">
        <v>0.11</v>
      </c>
      <c r="U42" s="30">
        <f t="shared" si="13"/>
        <v>111000.00000000001</v>
      </c>
      <c r="V42" s="30">
        <f t="shared" si="1"/>
        <v>18.322693069306933</v>
      </c>
      <c r="W42" s="11">
        <f t="shared" si="14"/>
        <v>1238.297688205088</v>
      </c>
      <c r="X42" s="2">
        <f t="shared" si="15"/>
        <v>2.7549431849218548E-14</v>
      </c>
      <c r="Y42" s="2">
        <f t="shared" si="16"/>
        <v>16590267859.599411</v>
      </c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</row>
    <row r="43" spans="1:76" s="4" customFormat="1" x14ac:dyDescent="0.3">
      <c r="A43" s="26">
        <v>123</v>
      </c>
      <c r="B43" s="26">
        <f t="shared" si="2"/>
        <v>2.0499999999999998</v>
      </c>
      <c r="C43" s="26">
        <v>20</v>
      </c>
      <c r="D43" s="26">
        <f t="shared" si="0"/>
        <v>29.146000000000001</v>
      </c>
      <c r="E43" s="26">
        <f t="shared" si="3"/>
        <v>4.8576666666666667E-7</v>
      </c>
      <c r="F43" s="26">
        <v>21.1</v>
      </c>
      <c r="G43" s="26">
        <f t="shared" si="4"/>
        <v>294.10000000000002</v>
      </c>
      <c r="H43" s="26">
        <v>101.3</v>
      </c>
      <c r="I43" s="26">
        <f t="shared" si="5"/>
        <v>101300</v>
      </c>
      <c r="J43" s="26">
        <f t="shared" si="6"/>
        <v>2.0124824921938581E-5</v>
      </c>
      <c r="K43" s="28">
        <v>159.99504950495052</v>
      </c>
      <c r="L43" s="27">
        <f t="shared" si="7"/>
        <v>1.599950495049505E-4</v>
      </c>
      <c r="M43" s="29">
        <f t="shared" si="8"/>
        <v>4.7762865441819992E-3</v>
      </c>
      <c r="N43" s="27">
        <f t="shared" si="9"/>
        <v>6.7413718374710066E-7</v>
      </c>
      <c r="O43" s="21">
        <f t="shared" si="10"/>
        <v>2.032E-3</v>
      </c>
      <c r="P43" s="21">
        <v>4.5724343480153871E-11</v>
      </c>
      <c r="Q43" s="2">
        <v>0.31</v>
      </c>
      <c r="R43" s="27">
        <f t="shared" si="11"/>
        <v>131000</v>
      </c>
      <c r="S43" s="2">
        <f t="shared" si="12"/>
        <v>5.1398579432804297E-3</v>
      </c>
      <c r="T43" s="11">
        <v>0.11</v>
      </c>
      <c r="U43" s="30">
        <f t="shared" si="13"/>
        <v>111000.00000000001</v>
      </c>
      <c r="V43" s="30">
        <f t="shared" si="1"/>
        <v>17.759450495049506</v>
      </c>
      <c r="W43" s="11">
        <f t="shared" si="14"/>
        <v>1167.7941187698425</v>
      </c>
      <c r="X43" s="2">
        <f t="shared" si="15"/>
        <v>2.6688057367776452E-14</v>
      </c>
      <c r="Y43" s="2">
        <f t="shared" si="16"/>
        <v>16071548146.874981</v>
      </c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</row>
    <row r="44" spans="1:76" s="4" customFormat="1" x14ac:dyDescent="0.3">
      <c r="A44" s="26">
        <v>126</v>
      </c>
      <c r="B44" s="26">
        <f t="shared" si="2"/>
        <v>2.1</v>
      </c>
      <c r="C44" s="26">
        <v>20</v>
      </c>
      <c r="D44" s="26">
        <f t="shared" si="0"/>
        <v>29.146000000000001</v>
      </c>
      <c r="E44" s="26">
        <f t="shared" si="3"/>
        <v>4.8576666666666667E-7</v>
      </c>
      <c r="F44" s="26">
        <v>21.1</v>
      </c>
      <c r="G44" s="26">
        <f t="shared" si="4"/>
        <v>294.10000000000002</v>
      </c>
      <c r="H44" s="26">
        <v>101.3</v>
      </c>
      <c r="I44" s="26">
        <f t="shared" si="5"/>
        <v>101300</v>
      </c>
      <c r="J44" s="26">
        <f t="shared" si="6"/>
        <v>2.0124824921938581E-5</v>
      </c>
      <c r="K44" s="28">
        <v>169.54950495049505</v>
      </c>
      <c r="L44" s="27">
        <f t="shared" si="7"/>
        <v>1.6954950495049506E-4</v>
      </c>
      <c r="M44" s="29">
        <f t="shared" si="8"/>
        <v>4.7762865441819992E-3</v>
      </c>
      <c r="N44" s="27">
        <f t="shared" si="9"/>
        <v>7.1439476487992975E-7</v>
      </c>
      <c r="O44" s="21">
        <f t="shared" si="10"/>
        <v>2.032E-3</v>
      </c>
      <c r="P44" s="21">
        <v>4.5724343480153871E-11</v>
      </c>
      <c r="Q44" s="2">
        <v>0.31</v>
      </c>
      <c r="R44" s="27">
        <f t="shared" si="11"/>
        <v>131000</v>
      </c>
      <c r="S44" s="2">
        <f t="shared" si="12"/>
        <v>5.1398579432804297E-3</v>
      </c>
      <c r="T44" s="11">
        <v>0.11</v>
      </c>
      <c r="U44" s="30">
        <f t="shared" si="13"/>
        <v>111000.00000000001</v>
      </c>
      <c r="V44" s="30">
        <f t="shared" si="1"/>
        <v>18.819995049504953</v>
      </c>
      <c r="W44" s="11">
        <f t="shared" si="14"/>
        <v>1302.2040264625095</v>
      </c>
      <c r="X44" s="2">
        <f t="shared" si="15"/>
        <v>2.8311102585392002E-14</v>
      </c>
      <c r="Y44" s="2">
        <f t="shared" si="16"/>
        <v>17048945976.923063</v>
      </c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</row>
    <row r="45" spans="1:76" s="4" customFormat="1" x14ac:dyDescent="0.3">
      <c r="A45" s="26">
        <v>129</v>
      </c>
      <c r="B45" s="26">
        <f t="shared" si="2"/>
        <v>2.15</v>
      </c>
      <c r="C45" s="26">
        <v>20</v>
      </c>
      <c r="D45" s="26">
        <f t="shared" si="0"/>
        <v>29.146000000000001</v>
      </c>
      <c r="E45" s="26">
        <f t="shared" si="3"/>
        <v>4.8576666666666667E-7</v>
      </c>
      <c r="F45" s="26">
        <v>21.1</v>
      </c>
      <c r="G45" s="26">
        <f t="shared" si="4"/>
        <v>294.10000000000002</v>
      </c>
      <c r="H45" s="26">
        <v>101.3</v>
      </c>
      <c r="I45" s="26">
        <f t="shared" si="5"/>
        <v>101300</v>
      </c>
      <c r="J45" s="26">
        <f t="shared" si="6"/>
        <v>2.0124824921938581E-5</v>
      </c>
      <c r="K45" s="28">
        <v>168.08910891089113</v>
      </c>
      <c r="L45" s="27">
        <f t="shared" si="7"/>
        <v>1.6808910891089114E-4</v>
      </c>
      <c r="M45" s="29">
        <f t="shared" si="8"/>
        <v>4.7762865441819992E-3</v>
      </c>
      <c r="N45" s="27">
        <f t="shared" si="9"/>
        <v>7.0824140403320221E-7</v>
      </c>
      <c r="O45" s="21">
        <f t="shared" si="10"/>
        <v>2.032E-3</v>
      </c>
      <c r="P45" s="21">
        <v>4.5724343480153871E-11</v>
      </c>
      <c r="Q45" s="2">
        <v>0.31</v>
      </c>
      <c r="R45" s="27">
        <f t="shared" si="11"/>
        <v>131000</v>
      </c>
      <c r="S45" s="2">
        <f t="shared" si="12"/>
        <v>5.1398579432804297E-3</v>
      </c>
      <c r="T45" s="11">
        <v>0.11</v>
      </c>
      <c r="U45" s="30">
        <f t="shared" si="13"/>
        <v>111000.00000000001</v>
      </c>
      <c r="V45" s="30">
        <f t="shared" si="1"/>
        <v>18.657891089108919</v>
      </c>
      <c r="W45" s="11">
        <f t="shared" si="14"/>
        <v>1281.2021113947278</v>
      </c>
      <c r="X45" s="2">
        <f t="shared" si="15"/>
        <v>2.80627038296036E-14</v>
      </c>
      <c r="Y45" s="2">
        <f t="shared" si="16"/>
        <v>16899360246.187288</v>
      </c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</row>
    <row r="46" spans="1:76" s="4" customFormat="1" x14ac:dyDescent="0.3">
      <c r="A46" s="26">
        <v>132</v>
      </c>
      <c r="B46" s="26">
        <f t="shared" si="2"/>
        <v>2.2000000000000002</v>
      </c>
      <c r="C46" s="26">
        <v>20</v>
      </c>
      <c r="D46" s="26">
        <f t="shared" si="0"/>
        <v>29.146000000000001</v>
      </c>
      <c r="E46" s="26">
        <f t="shared" si="3"/>
        <v>4.8576666666666667E-7</v>
      </c>
      <c r="F46" s="26">
        <v>21.1</v>
      </c>
      <c r="G46" s="26">
        <f t="shared" si="4"/>
        <v>294.10000000000002</v>
      </c>
      <c r="H46" s="26">
        <v>101.3</v>
      </c>
      <c r="I46" s="26">
        <f t="shared" si="5"/>
        <v>101300</v>
      </c>
      <c r="J46" s="26">
        <f t="shared" si="6"/>
        <v>2.0124824921938581E-5</v>
      </c>
      <c r="K46" s="28">
        <v>161.10891089108912</v>
      </c>
      <c r="L46" s="27">
        <f t="shared" si="7"/>
        <v>1.6110891089108912E-4</v>
      </c>
      <c r="M46" s="29">
        <f t="shared" si="8"/>
        <v>4.7762865441819992E-3</v>
      </c>
      <c r="N46" s="27">
        <f t="shared" si="9"/>
        <v>6.7883042507087612E-7</v>
      </c>
      <c r="O46" s="21">
        <f t="shared" si="10"/>
        <v>2.032E-3</v>
      </c>
      <c r="P46" s="21">
        <v>4.5724343480153871E-11</v>
      </c>
      <c r="Q46" s="2">
        <v>0.31</v>
      </c>
      <c r="R46" s="27">
        <f t="shared" si="11"/>
        <v>131000</v>
      </c>
      <c r="S46" s="2">
        <f t="shared" si="12"/>
        <v>5.1398579432804297E-3</v>
      </c>
      <c r="T46" s="11">
        <v>0.11</v>
      </c>
      <c r="U46" s="30">
        <f t="shared" si="13"/>
        <v>111000.00000000001</v>
      </c>
      <c r="V46" s="30">
        <f t="shared" si="1"/>
        <v>17.883089108910895</v>
      </c>
      <c r="W46" s="11">
        <f t="shared" si="14"/>
        <v>1183.0996284722357</v>
      </c>
      <c r="X46" s="2">
        <f t="shared" si="15"/>
        <v>2.6877024042751081E-14</v>
      </c>
      <c r="Y46" s="2">
        <f t="shared" si="16"/>
        <v>16185343878.544701</v>
      </c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</row>
    <row r="47" spans="1:76" s="4" customFormat="1" x14ac:dyDescent="0.3">
      <c r="A47" s="26">
        <v>135</v>
      </c>
      <c r="B47" s="26">
        <f t="shared" si="2"/>
        <v>2.25</v>
      </c>
      <c r="C47" s="26">
        <v>20</v>
      </c>
      <c r="D47" s="26">
        <f t="shared" si="0"/>
        <v>29.146000000000001</v>
      </c>
      <c r="E47" s="26">
        <f t="shared" si="3"/>
        <v>4.8576666666666667E-7</v>
      </c>
      <c r="F47" s="26">
        <v>21.1</v>
      </c>
      <c r="G47" s="26">
        <f t="shared" si="4"/>
        <v>294.10000000000002</v>
      </c>
      <c r="H47" s="26">
        <v>101.3</v>
      </c>
      <c r="I47" s="26">
        <f t="shared" si="5"/>
        <v>101300</v>
      </c>
      <c r="J47" s="26">
        <f t="shared" si="6"/>
        <v>2.0124824921938581E-5</v>
      </c>
      <c r="K47" s="28">
        <v>166.87623762376239</v>
      </c>
      <c r="L47" s="27">
        <f t="shared" si="7"/>
        <v>1.668762376237624E-4</v>
      </c>
      <c r="M47" s="29">
        <f t="shared" si="8"/>
        <v>4.7762865441819992E-3</v>
      </c>
      <c r="N47" s="27">
        <f t="shared" si="9"/>
        <v>7.0313098570286894E-7</v>
      </c>
      <c r="O47" s="21">
        <f t="shared" si="10"/>
        <v>2.032E-3</v>
      </c>
      <c r="P47" s="21">
        <v>4.5724343480153871E-11</v>
      </c>
      <c r="Q47" s="2">
        <v>0.31</v>
      </c>
      <c r="R47" s="27">
        <f t="shared" si="11"/>
        <v>131000</v>
      </c>
      <c r="S47" s="2">
        <f t="shared" si="12"/>
        <v>5.1398579432804297E-3</v>
      </c>
      <c r="T47" s="11">
        <v>0.11</v>
      </c>
      <c r="U47" s="30">
        <f t="shared" si="13"/>
        <v>111000.00000000001</v>
      </c>
      <c r="V47" s="30">
        <f t="shared" si="1"/>
        <v>18.523262376237629</v>
      </c>
      <c r="W47" s="11">
        <f t="shared" si="14"/>
        <v>1263.8852236070506</v>
      </c>
      <c r="X47" s="2">
        <f t="shared" si="15"/>
        <v>2.7856494610312615E-14</v>
      </c>
      <c r="Y47" s="2">
        <f t="shared" si="16"/>
        <v>16775181054.330257</v>
      </c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</row>
    <row r="48" spans="1:76" s="4" customFormat="1" x14ac:dyDescent="0.3">
      <c r="A48" s="26">
        <v>138</v>
      </c>
      <c r="B48" s="26">
        <f t="shared" si="2"/>
        <v>2.2999999999999998</v>
      </c>
      <c r="C48" s="26">
        <v>20</v>
      </c>
      <c r="D48" s="26">
        <f t="shared" si="0"/>
        <v>29.146000000000001</v>
      </c>
      <c r="E48" s="26">
        <f t="shared" si="3"/>
        <v>4.8576666666666667E-7</v>
      </c>
      <c r="F48" s="26">
        <v>21.1</v>
      </c>
      <c r="G48" s="26">
        <f t="shared" si="4"/>
        <v>294.10000000000002</v>
      </c>
      <c r="H48" s="26">
        <v>101.3</v>
      </c>
      <c r="I48" s="26">
        <f t="shared" si="5"/>
        <v>101300</v>
      </c>
      <c r="J48" s="26">
        <f t="shared" si="6"/>
        <v>2.0124824921938581E-5</v>
      </c>
      <c r="K48" s="28">
        <v>168.23762376237624</v>
      </c>
      <c r="L48" s="27">
        <f t="shared" si="7"/>
        <v>1.6823762376237623E-4</v>
      </c>
      <c r="M48" s="29">
        <f t="shared" si="8"/>
        <v>4.7762865441819992E-3</v>
      </c>
      <c r="N48" s="27">
        <f t="shared" si="9"/>
        <v>7.0886716954303877E-7</v>
      </c>
      <c r="O48" s="21">
        <f t="shared" si="10"/>
        <v>2.032E-3</v>
      </c>
      <c r="P48" s="21">
        <v>4.5724343480153871E-11</v>
      </c>
      <c r="Q48" s="2">
        <v>0.31</v>
      </c>
      <c r="R48" s="27">
        <f t="shared" si="11"/>
        <v>131000</v>
      </c>
      <c r="S48" s="2">
        <f t="shared" si="12"/>
        <v>5.1398579432804297E-3</v>
      </c>
      <c r="T48" s="11">
        <v>0.11</v>
      </c>
      <c r="U48" s="30">
        <f t="shared" si="13"/>
        <v>111000.00000000001</v>
      </c>
      <c r="V48" s="30">
        <f t="shared" si="1"/>
        <v>18.674376237623765</v>
      </c>
      <c r="W48" s="11">
        <f t="shared" si="14"/>
        <v>1283.3303661041236</v>
      </c>
      <c r="X48" s="2">
        <f t="shared" si="15"/>
        <v>2.8087959414851002E-14</v>
      </c>
      <c r="Y48" s="2">
        <f t="shared" si="16"/>
        <v>16914569159.623274</v>
      </c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</row>
    <row r="49" spans="1:76" s="4" customFormat="1" x14ac:dyDescent="0.3">
      <c r="A49" s="26">
        <v>141</v>
      </c>
      <c r="B49" s="26">
        <f t="shared" si="2"/>
        <v>2.35</v>
      </c>
      <c r="C49" s="26">
        <v>20</v>
      </c>
      <c r="D49" s="26">
        <f t="shared" si="0"/>
        <v>29.146000000000001</v>
      </c>
      <c r="E49" s="26">
        <f t="shared" si="3"/>
        <v>4.8576666666666667E-7</v>
      </c>
      <c r="F49" s="26">
        <v>21.1</v>
      </c>
      <c r="G49" s="26">
        <f t="shared" si="4"/>
        <v>294.10000000000002</v>
      </c>
      <c r="H49" s="26">
        <v>101.3</v>
      </c>
      <c r="I49" s="26">
        <f t="shared" si="5"/>
        <v>101300</v>
      </c>
      <c r="J49" s="26">
        <f t="shared" si="6"/>
        <v>2.0124824921938581E-5</v>
      </c>
      <c r="K49" s="28">
        <v>164.02970297029705</v>
      </c>
      <c r="L49" s="27">
        <f t="shared" si="7"/>
        <v>1.6402970297029704E-4</v>
      </c>
      <c r="M49" s="29">
        <f t="shared" si="8"/>
        <v>4.7762865441819992E-3</v>
      </c>
      <c r="N49" s="27">
        <f t="shared" si="9"/>
        <v>6.9113714676433162E-7</v>
      </c>
      <c r="O49" s="21">
        <f t="shared" si="10"/>
        <v>2.032E-3</v>
      </c>
      <c r="P49" s="21">
        <v>4.5724343480153871E-11</v>
      </c>
      <c r="Q49" s="2">
        <v>0.31</v>
      </c>
      <c r="R49" s="27">
        <f t="shared" si="11"/>
        <v>131000</v>
      </c>
      <c r="S49" s="2">
        <f t="shared" si="12"/>
        <v>5.1398579432804297E-3</v>
      </c>
      <c r="T49" s="11">
        <v>0.11</v>
      </c>
      <c r="U49" s="30">
        <f t="shared" si="13"/>
        <v>111000.00000000001</v>
      </c>
      <c r="V49" s="30">
        <f t="shared" si="1"/>
        <v>18.207297029702975</v>
      </c>
      <c r="W49" s="11">
        <f t="shared" si="14"/>
        <v>1223.6906187559596</v>
      </c>
      <c r="X49" s="2">
        <f t="shared" si="15"/>
        <v>2.7372844632660097E-14</v>
      </c>
      <c r="Y49" s="2">
        <f t="shared" si="16"/>
        <v>16483927037.78791</v>
      </c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</row>
    <row r="50" spans="1:76" s="4" customFormat="1" x14ac:dyDescent="0.3">
      <c r="A50" s="26">
        <v>144</v>
      </c>
      <c r="B50" s="26">
        <f t="shared" si="2"/>
        <v>2.4</v>
      </c>
      <c r="C50" s="26">
        <v>20</v>
      </c>
      <c r="D50" s="26">
        <f t="shared" si="0"/>
        <v>29.146000000000001</v>
      </c>
      <c r="E50" s="26">
        <f t="shared" si="3"/>
        <v>4.8576666666666667E-7</v>
      </c>
      <c r="F50" s="26">
        <v>21.1</v>
      </c>
      <c r="G50" s="26">
        <f t="shared" si="4"/>
        <v>294.10000000000002</v>
      </c>
      <c r="H50" s="26">
        <v>101.3</v>
      </c>
      <c r="I50" s="26">
        <f t="shared" si="5"/>
        <v>101300</v>
      </c>
      <c r="J50" s="26">
        <f t="shared" si="6"/>
        <v>2.0124824921938581E-5</v>
      </c>
      <c r="K50" s="28">
        <v>163.83168316831686</v>
      </c>
      <c r="L50" s="27">
        <f t="shared" si="7"/>
        <v>1.6383168316831686E-4</v>
      </c>
      <c r="M50" s="29">
        <f t="shared" si="8"/>
        <v>4.7762865441819992E-3</v>
      </c>
      <c r="N50" s="27">
        <f t="shared" si="9"/>
        <v>6.903027927512161E-7</v>
      </c>
      <c r="O50" s="21">
        <f t="shared" si="10"/>
        <v>2.032E-3</v>
      </c>
      <c r="P50" s="21">
        <v>4.5724343480153871E-11</v>
      </c>
      <c r="Q50" s="2">
        <v>0.31</v>
      </c>
      <c r="R50" s="27">
        <f t="shared" si="11"/>
        <v>131000</v>
      </c>
      <c r="S50" s="2">
        <f t="shared" si="12"/>
        <v>5.1398579432804297E-3</v>
      </c>
      <c r="T50" s="11">
        <v>0.11</v>
      </c>
      <c r="U50" s="30">
        <f t="shared" si="13"/>
        <v>111000.00000000001</v>
      </c>
      <c r="V50" s="30">
        <f t="shared" si="1"/>
        <v>18.185316831683174</v>
      </c>
      <c r="W50" s="11">
        <f t="shared" si="14"/>
        <v>1220.9178071363249</v>
      </c>
      <c r="X50" s="2">
        <f t="shared" si="15"/>
        <v>2.7339215477870779E-14</v>
      </c>
      <c r="Y50" s="2">
        <f t="shared" si="16"/>
        <v>16463675560.773783</v>
      </c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</row>
    <row r="51" spans="1:76" s="4" customFormat="1" x14ac:dyDescent="0.3">
      <c r="A51" s="26">
        <v>147</v>
      </c>
      <c r="B51" s="26">
        <f t="shared" si="2"/>
        <v>2.4500000000000002</v>
      </c>
      <c r="C51" s="26">
        <v>20</v>
      </c>
      <c r="D51" s="26">
        <f t="shared" si="0"/>
        <v>29.146000000000001</v>
      </c>
      <c r="E51" s="26">
        <f t="shared" si="3"/>
        <v>4.8576666666666667E-7</v>
      </c>
      <c r="F51" s="26">
        <v>21.1</v>
      </c>
      <c r="G51" s="26">
        <f t="shared" si="4"/>
        <v>294.10000000000002</v>
      </c>
      <c r="H51" s="26">
        <v>101.3</v>
      </c>
      <c r="I51" s="26">
        <f t="shared" si="5"/>
        <v>101300</v>
      </c>
      <c r="J51" s="26">
        <f t="shared" si="6"/>
        <v>2.0124824921938581E-5</v>
      </c>
      <c r="K51" s="28">
        <v>168.26237623762378</v>
      </c>
      <c r="L51" s="27">
        <f t="shared" si="7"/>
        <v>1.6826237623762379E-4</v>
      </c>
      <c r="M51" s="29">
        <f t="shared" si="8"/>
        <v>4.7762865441819992E-3</v>
      </c>
      <c r="N51" s="27">
        <f t="shared" si="9"/>
        <v>7.0897146379467831E-7</v>
      </c>
      <c r="O51" s="21">
        <f t="shared" si="10"/>
        <v>2.032E-3</v>
      </c>
      <c r="P51" s="21">
        <v>4.5724343480153871E-11</v>
      </c>
      <c r="Q51" s="2">
        <v>0.31</v>
      </c>
      <c r="R51" s="27">
        <f t="shared" si="11"/>
        <v>131000</v>
      </c>
      <c r="S51" s="2">
        <f t="shared" si="12"/>
        <v>5.1398579432804297E-3</v>
      </c>
      <c r="T51" s="11">
        <v>0.11</v>
      </c>
      <c r="U51" s="30">
        <f t="shared" si="13"/>
        <v>111000.00000000001</v>
      </c>
      <c r="V51" s="30">
        <f t="shared" si="1"/>
        <v>18.677123762376244</v>
      </c>
      <c r="W51" s="11">
        <f t="shared" si="14"/>
        <v>1283.6852410685885</v>
      </c>
      <c r="X51" s="2">
        <f t="shared" si="15"/>
        <v>2.809216879554719E-14</v>
      </c>
      <c r="Y51" s="2">
        <f t="shared" si="16"/>
        <v>16917104048.678518</v>
      </c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</row>
    <row r="52" spans="1:76" s="4" customFormat="1" x14ac:dyDescent="0.3">
      <c r="A52" s="26">
        <v>150</v>
      </c>
      <c r="B52" s="26">
        <f t="shared" si="2"/>
        <v>2.5</v>
      </c>
      <c r="C52" s="26">
        <v>20</v>
      </c>
      <c r="D52" s="26">
        <f t="shared" si="0"/>
        <v>29.146000000000001</v>
      </c>
      <c r="E52" s="26">
        <f t="shared" si="3"/>
        <v>4.8576666666666667E-7</v>
      </c>
      <c r="F52" s="26">
        <v>21.1</v>
      </c>
      <c r="G52" s="26">
        <f t="shared" si="4"/>
        <v>294.10000000000002</v>
      </c>
      <c r="H52" s="26">
        <v>101.3</v>
      </c>
      <c r="I52" s="26">
        <f t="shared" si="5"/>
        <v>101300</v>
      </c>
      <c r="J52" s="26">
        <f t="shared" si="6"/>
        <v>2.0124824921938581E-5</v>
      </c>
      <c r="K52" s="28">
        <v>164.84653465346537</v>
      </c>
      <c r="L52" s="27">
        <f t="shared" si="7"/>
        <v>1.6484653465346537E-4</v>
      </c>
      <c r="M52" s="29">
        <f t="shared" si="8"/>
        <v>4.7762865441819992E-3</v>
      </c>
      <c r="N52" s="27">
        <f t="shared" si="9"/>
        <v>6.9457885706843364E-7</v>
      </c>
      <c r="O52" s="21">
        <f t="shared" si="10"/>
        <v>2.032E-3</v>
      </c>
      <c r="P52" s="21">
        <v>4.5724343480153871E-11</v>
      </c>
      <c r="Q52" s="2">
        <v>0.31</v>
      </c>
      <c r="R52" s="27">
        <f t="shared" si="11"/>
        <v>131000</v>
      </c>
      <c r="S52" s="2">
        <f t="shared" si="12"/>
        <v>5.1398579432804297E-3</v>
      </c>
      <c r="T52" s="11">
        <v>0.11</v>
      </c>
      <c r="U52" s="30">
        <f t="shared" si="13"/>
        <v>111000.00000000001</v>
      </c>
      <c r="V52" s="30">
        <f t="shared" si="1"/>
        <v>18.297965346534657</v>
      </c>
      <c r="W52" s="11">
        <f t="shared" si="14"/>
        <v>1235.1605582400944</v>
      </c>
      <c r="X52" s="2">
        <f t="shared" si="15"/>
        <v>2.7511586891302003E-14</v>
      </c>
      <c r="Y52" s="2">
        <f t="shared" si="16"/>
        <v>16567477625.942066</v>
      </c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</row>
    <row r="53" spans="1:76" s="4" customFormat="1" x14ac:dyDescent="0.3">
      <c r="A53" s="26">
        <v>153</v>
      </c>
      <c r="B53" s="26">
        <f t="shared" si="2"/>
        <v>2.5499999999999998</v>
      </c>
      <c r="C53" s="26">
        <v>20</v>
      </c>
      <c r="D53" s="26">
        <f t="shared" si="0"/>
        <v>29.146000000000001</v>
      </c>
      <c r="E53" s="26">
        <f t="shared" si="3"/>
        <v>4.8576666666666667E-7</v>
      </c>
      <c r="F53" s="26">
        <v>21.1</v>
      </c>
      <c r="G53" s="26">
        <f t="shared" si="4"/>
        <v>294.10000000000002</v>
      </c>
      <c r="H53" s="26">
        <v>101.3</v>
      </c>
      <c r="I53" s="26">
        <f t="shared" si="5"/>
        <v>101300</v>
      </c>
      <c r="J53" s="26">
        <f t="shared" si="6"/>
        <v>2.0124824921938581E-5</v>
      </c>
      <c r="K53" s="28">
        <v>170.31683168316835</v>
      </c>
      <c r="L53" s="27">
        <f t="shared" si="7"/>
        <v>1.7031683168316835E-4</v>
      </c>
      <c r="M53" s="29">
        <f t="shared" si="8"/>
        <v>4.7762865441819992E-3</v>
      </c>
      <c r="N53" s="27">
        <f t="shared" si="9"/>
        <v>7.1762788668075303E-7</v>
      </c>
      <c r="O53" s="21">
        <f t="shared" si="10"/>
        <v>2.032E-3</v>
      </c>
      <c r="P53" s="21">
        <v>4.5724343480153871E-11</v>
      </c>
      <c r="Q53" s="2">
        <v>0.31</v>
      </c>
      <c r="R53" s="27">
        <f t="shared" si="11"/>
        <v>131000</v>
      </c>
      <c r="S53" s="2">
        <f t="shared" si="12"/>
        <v>5.1398579432804297E-3</v>
      </c>
      <c r="T53" s="11">
        <v>0.11</v>
      </c>
      <c r="U53" s="30">
        <f t="shared" si="13"/>
        <v>111000.00000000001</v>
      </c>
      <c r="V53" s="30">
        <f t="shared" si="1"/>
        <v>18.905168316831691</v>
      </c>
      <c r="W53" s="11">
        <f t="shared" si="14"/>
        <v>1313.3050121073745</v>
      </c>
      <c r="X53" s="2">
        <f t="shared" si="15"/>
        <v>2.8441663919494365E-14</v>
      </c>
      <c r="Y53" s="2">
        <f t="shared" si="16"/>
        <v>17127570012.319508</v>
      </c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</row>
    <row r="54" spans="1:76" s="4" customFormat="1" x14ac:dyDescent="0.3">
      <c r="A54" s="26">
        <v>156</v>
      </c>
      <c r="B54" s="26">
        <f t="shared" si="2"/>
        <v>2.6</v>
      </c>
      <c r="C54" s="26">
        <v>20</v>
      </c>
      <c r="D54" s="26">
        <f t="shared" si="0"/>
        <v>29.146000000000001</v>
      </c>
      <c r="E54" s="26">
        <f t="shared" si="3"/>
        <v>4.8576666666666667E-7</v>
      </c>
      <c r="F54" s="26">
        <v>21.1</v>
      </c>
      <c r="G54" s="26">
        <f t="shared" si="4"/>
        <v>294.10000000000002</v>
      </c>
      <c r="H54" s="26">
        <v>101.3</v>
      </c>
      <c r="I54" s="26">
        <f t="shared" si="5"/>
        <v>101300</v>
      </c>
      <c r="J54" s="26">
        <f t="shared" si="6"/>
        <v>2.0124824921938581E-5</v>
      </c>
      <c r="K54" s="28">
        <v>176.97524752475249</v>
      </c>
      <c r="L54" s="27">
        <f t="shared" si="7"/>
        <v>1.7697524752475249E-4</v>
      </c>
      <c r="M54" s="29">
        <f t="shared" si="8"/>
        <v>4.7762865441819992E-3</v>
      </c>
      <c r="N54" s="27">
        <f t="shared" si="9"/>
        <v>7.4568304037176594E-7</v>
      </c>
      <c r="O54" s="21">
        <f t="shared" si="10"/>
        <v>2.032E-3</v>
      </c>
      <c r="P54" s="21">
        <v>4.5724343480153871E-11</v>
      </c>
      <c r="Q54" s="2">
        <v>0.31</v>
      </c>
      <c r="R54" s="27">
        <f t="shared" si="11"/>
        <v>131000</v>
      </c>
      <c r="S54" s="2">
        <f t="shared" si="12"/>
        <v>5.1398579432804297E-3</v>
      </c>
      <c r="T54" s="11">
        <v>0.11</v>
      </c>
      <c r="U54" s="30">
        <f t="shared" si="13"/>
        <v>111000.00000000001</v>
      </c>
      <c r="V54" s="30">
        <f t="shared" si="1"/>
        <v>19.64425247524753</v>
      </c>
      <c r="W54" s="11">
        <f t="shared" si="14"/>
        <v>1411.542769049244</v>
      </c>
      <c r="X54" s="2">
        <f t="shared" si="15"/>
        <v>2.9575974435699387E-14</v>
      </c>
      <c r="Y54" s="2">
        <f t="shared" si="16"/>
        <v>17810651805.178173</v>
      </c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</row>
    <row r="55" spans="1:76" s="4" customFormat="1" x14ac:dyDescent="0.3">
      <c r="A55" s="26">
        <v>159</v>
      </c>
      <c r="B55" s="26">
        <f t="shared" si="2"/>
        <v>2.65</v>
      </c>
      <c r="C55" s="26">
        <v>20</v>
      </c>
      <c r="D55" s="26">
        <f t="shared" si="0"/>
        <v>29.146000000000001</v>
      </c>
      <c r="E55" s="26">
        <f t="shared" si="3"/>
        <v>4.8576666666666667E-7</v>
      </c>
      <c r="F55" s="26">
        <v>21.1</v>
      </c>
      <c r="G55" s="26">
        <f t="shared" si="4"/>
        <v>294.10000000000002</v>
      </c>
      <c r="H55" s="26">
        <v>101.3</v>
      </c>
      <c r="I55" s="26">
        <f t="shared" si="5"/>
        <v>101300</v>
      </c>
      <c r="J55" s="26">
        <f t="shared" si="6"/>
        <v>2.0124824921938581E-5</v>
      </c>
      <c r="K55" s="20">
        <v>179.15346534653466</v>
      </c>
      <c r="L55" s="27">
        <f t="shared" si="7"/>
        <v>1.7915346534653465E-4</v>
      </c>
      <c r="M55" s="29">
        <f t="shared" si="8"/>
        <v>4.7762865441819992E-3</v>
      </c>
      <c r="N55" s="27">
        <f t="shared" si="9"/>
        <v>7.5486093451603769E-7</v>
      </c>
      <c r="O55" s="21">
        <f t="shared" si="10"/>
        <v>2.032E-3</v>
      </c>
      <c r="P55" s="21">
        <v>4.5724343480153871E-11</v>
      </c>
      <c r="Q55" s="2">
        <v>0.31</v>
      </c>
      <c r="R55" s="27">
        <f t="shared" si="11"/>
        <v>131000</v>
      </c>
      <c r="S55" s="2">
        <f t="shared" si="12"/>
        <v>5.1398579432804297E-3</v>
      </c>
      <c r="T55" s="11">
        <v>0.11</v>
      </c>
      <c r="U55" s="30">
        <f t="shared" si="13"/>
        <v>111000.00000000001</v>
      </c>
      <c r="V55" s="30">
        <f t="shared" si="1"/>
        <v>19.886034653465348</v>
      </c>
      <c r="W55" s="11">
        <f t="shared" si="14"/>
        <v>1444.4228918641415</v>
      </c>
      <c r="X55" s="9">
        <f t="shared" si="15"/>
        <v>2.9947595132133418E-14</v>
      </c>
      <c r="Y55" s="9">
        <f t="shared" si="16"/>
        <v>18034441788.570744</v>
      </c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</row>
    <row r="56" spans="1:76" s="4" customFormat="1" x14ac:dyDescent="0.3">
      <c r="A56" s="26">
        <v>162</v>
      </c>
      <c r="B56" s="26">
        <f t="shared" si="2"/>
        <v>2.7</v>
      </c>
      <c r="C56" s="26">
        <v>20</v>
      </c>
      <c r="D56" s="26">
        <f t="shared" si="0"/>
        <v>29.146000000000001</v>
      </c>
      <c r="E56" s="26">
        <f t="shared" si="3"/>
        <v>4.8576666666666667E-7</v>
      </c>
      <c r="F56" s="26">
        <v>21.1</v>
      </c>
      <c r="G56" s="26">
        <f t="shared" si="4"/>
        <v>294.10000000000002</v>
      </c>
      <c r="H56" s="26">
        <v>101.3</v>
      </c>
      <c r="I56" s="26">
        <f t="shared" si="5"/>
        <v>101300</v>
      </c>
      <c r="J56" s="26">
        <f t="shared" si="6"/>
        <v>2.0124824921938581E-5</v>
      </c>
      <c r="K56" s="20">
        <v>170.09405940594061</v>
      </c>
      <c r="L56" s="27">
        <f t="shared" si="7"/>
        <v>1.7009405940594062E-4</v>
      </c>
      <c r="M56" s="29">
        <f t="shared" si="8"/>
        <v>4.7762865441819992E-3</v>
      </c>
      <c r="N56" s="27">
        <f t="shared" si="9"/>
        <v>7.1668923841599787E-7</v>
      </c>
      <c r="O56" s="21">
        <f t="shared" si="10"/>
        <v>2.032E-3</v>
      </c>
      <c r="P56" s="21">
        <v>4.5724343480153871E-11</v>
      </c>
      <c r="Q56" s="2">
        <v>0.31</v>
      </c>
      <c r="R56" s="27">
        <f t="shared" si="11"/>
        <v>131000</v>
      </c>
      <c r="S56" s="2">
        <f t="shared" si="12"/>
        <v>5.1398579432804297E-3</v>
      </c>
      <c r="T56" s="11">
        <v>0.11</v>
      </c>
      <c r="U56" s="30">
        <f t="shared" si="13"/>
        <v>111000.00000000001</v>
      </c>
      <c r="V56" s="30">
        <f t="shared" si="1"/>
        <v>18.880440594059412</v>
      </c>
      <c r="W56" s="11">
        <f t="shared" si="14"/>
        <v>1310.0774565389479</v>
      </c>
      <c r="X56" s="9">
        <f t="shared" si="15"/>
        <v>2.8403755686580902E-14</v>
      </c>
      <c r="Y56" s="9">
        <f t="shared" si="16"/>
        <v>17104741674.459021</v>
      </c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</row>
    <row r="57" spans="1:76" s="4" customFormat="1" x14ac:dyDescent="0.3">
      <c r="A57" s="26">
        <v>165</v>
      </c>
      <c r="B57" s="26">
        <f t="shared" si="2"/>
        <v>2.75</v>
      </c>
      <c r="C57" s="26">
        <v>20</v>
      </c>
      <c r="D57" s="26">
        <f t="shared" si="0"/>
        <v>29.146000000000001</v>
      </c>
      <c r="E57" s="26">
        <f t="shared" si="3"/>
        <v>4.8576666666666667E-7</v>
      </c>
      <c r="F57" s="26">
        <v>21.1</v>
      </c>
      <c r="G57" s="26">
        <f t="shared" si="4"/>
        <v>294.10000000000002</v>
      </c>
      <c r="H57" s="26">
        <v>101.3</v>
      </c>
      <c r="I57" s="26">
        <f t="shared" si="5"/>
        <v>101300</v>
      </c>
      <c r="J57" s="26">
        <f t="shared" si="6"/>
        <v>2.0124824921938581E-5</v>
      </c>
      <c r="K57" s="20">
        <v>174.82178217821783</v>
      </c>
      <c r="L57" s="27">
        <f t="shared" si="7"/>
        <v>1.7482178217821784E-4</v>
      </c>
      <c r="M57" s="29">
        <f t="shared" si="8"/>
        <v>4.7762865441819992E-3</v>
      </c>
      <c r="N57" s="27">
        <f t="shared" si="9"/>
        <v>7.3660944047913351E-7</v>
      </c>
      <c r="O57" s="21">
        <f t="shared" si="10"/>
        <v>2.032E-3</v>
      </c>
      <c r="P57" s="21">
        <v>4.5724343480153871E-11</v>
      </c>
      <c r="Q57" s="2">
        <v>0.31</v>
      </c>
      <c r="R57" s="27">
        <f t="shared" si="11"/>
        <v>131000</v>
      </c>
      <c r="S57" s="2">
        <f t="shared" si="12"/>
        <v>5.1398579432804297E-3</v>
      </c>
      <c r="T57" s="11">
        <v>0.11</v>
      </c>
      <c r="U57" s="30">
        <f t="shared" si="13"/>
        <v>111000.00000000001</v>
      </c>
      <c r="V57" s="30">
        <f t="shared" si="1"/>
        <v>19.405217821782184</v>
      </c>
      <c r="W57" s="11">
        <f t="shared" si="14"/>
        <v>1379.3961537875402</v>
      </c>
      <c r="X57" s="9">
        <f t="shared" si="15"/>
        <v>2.9208843126776229E-14</v>
      </c>
      <c r="Y57" s="9">
        <f t="shared" si="16"/>
        <v>17589565330.944645</v>
      </c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</row>
    <row r="58" spans="1:76" s="4" customFormat="1" x14ac:dyDescent="0.3">
      <c r="A58" s="26">
        <v>168</v>
      </c>
      <c r="B58" s="26">
        <f t="shared" si="2"/>
        <v>2.8</v>
      </c>
      <c r="C58" s="26">
        <v>20</v>
      </c>
      <c r="D58" s="26">
        <f t="shared" si="0"/>
        <v>29.146000000000001</v>
      </c>
      <c r="E58" s="26">
        <f t="shared" si="3"/>
        <v>4.8576666666666667E-7</v>
      </c>
      <c r="F58" s="26">
        <v>21.1</v>
      </c>
      <c r="G58" s="26">
        <f t="shared" si="4"/>
        <v>294.10000000000002</v>
      </c>
      <c r="H58" s="26">
        <v>101.3</v>
      </c>
      <c r="I58" s="26">
        <f t="shared" si="5"/>
        <v>101300</v>
      </c>
      <c r="J58" s="26">
        <f t="shared" si="6"/>
        <v>2.0124824921938581E-5</v>
      </c>
      <c r="K58" s="20">
        <v>175.14356435643566</v>
      </c>
      <c r="L58" s="27">
        <f t="shared" si="7"/>
        <v>1.7514356435643566E-4</v>
      </c>
      <c r="M58" s="29">
        <f t="shared" si="8"/>
        <v>4.7762865441819992E-3</v>
      </c>
      <c r="N58" s="27">
        <f t="shared" si="9"/>
        <v>7.3796526575044638E-7</v>
      </c>
      <c r="O58" s="21">
        <f t="shared" si="10"/>
        <v>2.032E-3</v>
      </c>
      <c r="P58" s="21">
        <v>4.5724343480153871E-11</v>
      </c>
      <c r="Q58" s="2">
        <v>0.31</v>
      </c>
      <c r="R58" s="27">
        <f t="shared" si="11"/>
        <v>131000</v>
      </c>
      <c r="S58" s="2">
        <f t="shared" si="12"/>
        <v>5.1398579432804297E-3</v>
      </c>
      <c r="T58" s="11">
        <v>0.11</v>
      </c>
      <c r="U58" s="30">
        <f t="shared" si="13"/>
        <v>111000.00000000001</v>
      </c>
      <c r="V58" s="30">
        <f t="shared" si="1"/>
        <v>19.440935643564362</v>
      </c>
      <c r="W58" s="11">
        <f t="shared" si="14"/>
        <v>1384.1769245810306</v>
      </c>
      <c r="X58" s="9">
        <f t="shared" si="15"/>
        <v>2.9263685119874968E-14</v>
      </c>
      <c r="Y58" s="9">
        <f t="shared" si="16"/>
        <v>17622591179.188705</v>
      </c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</row>
    <row r="59" spans="1:76" s="4" customFormat="1" x14ac:dyDescent="0.3">
      <c r="A59" s="26">
        <v>171</v>
      </c>
      <c r="B59" s="26">
        <f t="shared" si="2"/>
        <v>2.85</v>
      </c>
      <c r="C59" s="26">
        <v>20</v>
      </c>
      <c r="D59" s="26">
        <f t="shared" si="0"/>
        <v>29.146000000000001</v>
      </c>
      <c r="E59" s="26">
        <f t="shared" si="3"/>
        <v>4.8576666666666667E-7</v>
      </c>
      <c r="F59" s="26">
        <v>21.1</v>
      </c>
      <c r="G59" s="26">
        <f t="shared" si="4"/>
        <v>294.10000000000002</v>
      </c>
      <c r="H59" s="26">
        <v>101.3</v>
      </c>
      <c r="I59" s="26">
        <f t="shared" si="5"/>
        <v>101300</v>
      </c>
      <c r="J59" s="26">
        <f t="shared" si="6"/>
        <v>2.0124824921938581E-5</v>
      </c>
      <c r="K59" s="20">
        <v>178.80693069306932</v>
      </c>
      <c r="L59" s="27">
        <f t="shared" si="7"/>
        <v>1.7880693069306932E-4</v>
      </c>
      <c r="M59" s="29">
        <f t="shared" si="8"/>
        <v>4.7762865441819992E-3</v>
      </c>
      <c r="N59" s="27">
        <f t="shared" si="9"/>
        <v>7.5340081499308551E-7</v>
      </c>
      <c r="O59" s="21">
        <f t="shared" si="10"/>
        <v>2.032E-3</v>
      </c>
      <c r="P59" s="21">
        <v>4.5724343480153871E-11</v>
      </c>
      <c r="Q59" s="2">
        <v>0.31</v>
      </c>
      <c r="R59" s="27">
        <f t="shared" si="11"/>
        <v>131000</v>
      </c>
      <c r="S59" s="2">
        <f t="shared" si="12"/>
        <v>5.1398579432804297E-3</v>
      </c>
      <c r="T59" s="11">
        <v>0.11</v>
      </c>
      <c r="U59" s="30">
        <f t="shared" si="13"/>
        <v>111000.00000000001</v>
      </c>
      <c r="V59" s="30">
        <f t="shared" si="1"/>
        <v>19.847569306930698</v>
      </c>
      <c r="W59" s="11">
        <f t="shared" si="14"/>
        <v>1439.1674838886411</v>
      </c>
      <c r="X59" s="9">
        <f t="shared" si="15"/>
        <v>2.9888455393605291E-14</v>
      </c>
      <c r="Y59" s="9">
        <f t="shared" si="16"/>
        <v>17998827838.029106</v>
      </c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</row>
    <row r="60" spans="1:76" s="4" customFormat="1" x14ac:dyDescent="0.3">
      <c r="A60" s="26">
        <v>174</v>
      </c>
      <c r="B60" s="26">
        <f t="shared" si="2"/>
        <v>2.9</v>
      </c>
      <c r="C60" s="26">
        <v>20</v>
      </c>
      <c r="D60" s="26">
        <f t="shared" si="0"/>
        <v>29.146000000000001</v>
      </c>
      <c r="E60" s="26">
        <f t="shared" si="3"/>
        <v>4.8576666666666667E-7</v>
      </c>
      <c r="F60" s="26">
        <v>21.1</v>
      </c>
      <c r="G60" s="26">
        <f t="shared" si="4"/>
        <v>294.10000000000002</v>
      </c>
      <c r="H60" s="26">
        <v>101.3</v>
      </c>
      <c r="I60" s="26">
        <f t="shared" si="5"/>
        <v>101300</v>
      </c>
      <c r="J60" s="26">
        <f t="shared" si="6"/>
        <v>2.0124824921938581E-5</v>
      </c>
      <c r="K60" s="20">
        <v>172.09900990099013</v>
      </c>
      <c r="L60" s="27">
        <f t="shared" si="7"/>
        <v>1.7209900990099012E-4</v>
      </c>
      <c r="M60" s="29">
        <f t="shared" si="8"/>
        <v>4.7762865441819992E-3</v>
      </c>
      <c r="N60" s="27">
        <f t="shared" si="9"/>
        <v>7.2513707279879364E-7</v>
      </c>
      <c r="O60" s="21">
        <f t="shared" si="10"/>
        <v>2.032E-3</v>
      </c>
      <c r="P60" s="21">
        <v>4.5724343480153871E-11</v>
      </c>
      <c r="Q60" s="2">
        <v>0.31</v>
      </c>
      <c r="R60" s="27">
        <f t="shared" si="11"/>
        <v>131000</v>
      </c>
      <c r="S60" s="2">
        <f t="shared" si="12"/>
        <v>5.1398579432804297E-3</v>
      </c>
      <c r="T60" s="11">
        <v>0.11</v>
      </c>
      <c r="U60" s="30">
        <f t="shared" si="13"/>
        <v>111000.00000000001</v>
      </c>
      <c r="V60" s="30">
        <f t="shared" si="1"/>
        <v>19.102990099009904</v>
      </c>
      <c r="W60" s="11">
        <f t="shared" si="14"/>
        <v>1339.2635302887145</v>
      </c>
      <c r="X60" s="9">
        <f t="shared" si="15"/>
        <v>2.8745028333713416E-14</v>
      </c>
      <c r="Y60" s="9">
        <f t="shared" si="16"/>
        <v>17310256062.562218</v>
      </c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</row>
    <row r="61" spans="1:76" s="4" customFormat="1" x14ac:dyDescent="0.3">
      <c r="A61" s="26">
        <v>177</v>
      </c>
      <c r="B61" s="26">
        <f t="shared" si="2"/>
        <v>2.95</v>
      </c>
      <c r="C61" s="26">
        <v>20</v>
      </c>
      <c r="D61" s="26">
        <f t="shared" si="0"/>
        <v>29.146000000000001</v>
      </c>
      <c r="E61" s="26">
        <f t="shared" si="3"/>
        <v>4.8576666666666667E-7</v>
      </c>
      <c r="F61" s="26">
        <v>21.1</v>
      </c>
      <c r="G61" s="26">
        <f t="shared" si="4"/>
        <v>294.10000000000002</v>
      </c>
      <c r="H61" s="26">
        <v>101.3</v>
      </c>
      <c r="I61" s="26">
        <f t="shared" si="5"/>
        <v>101300</v>
      </c>
      <c r="J61" s="26">
        <f t="shared" si="6"/>
        <v>2.0124824921938581E-5</v>
      </c>
      <c r="K61" s="20">
        <v>177</v>
      </c>
      <c r="L61" s="27">
        <f t="shared" si="7"/>
        <v>1.7699999999999999E-4</v>
      </c>
      <c r="M61" s="29">
        <f t="shared" si="8"/>
        <v>4.7762865441819992E-3</v>
      </c>
      <c r="N61" s="27">
        <f t="shared" si="9"/>
        <v>7.4578733462340526E-7</v>
      </c>
      <c r="O61" s="21">
        <f t="shared" si="10"/>
        <v>2.032E-3</v>
      </c>
      <c r="P61" s="21">
        <v>4.5724343480153871E-11</v>
      </c>
      <c r="Q61" s="2">
        <v>0.31</v>
      </c>
      <c r="R61" s="27">
        <f t="shared" si="11"/>
        <v>131000</v>
      </c>
      <c r="S61" s="2">
        <f t="shared" si="12"/>
        <v>5.1398579432804297E-3</v>
      </c>
      <c r="T61" s="11">
        <v>0.11</v>
      </c>
      <c r="U61" s="30">
        <f t="shared" si="13"/>
        <v>111000.00000000001</v>
      </c>
      <c r="V61" s="30">
        <f t="shared" si="1"/>
        <v>19.647000000000002</v>
      </c>
      <c r="W61" s="11">
        <f t="shared" si="14"/>
        <v>1411.9143507942254</v>
      </c>
      <c r="X61" s="9">
        <f t="shared" si="15"/>
        <v>2.9580195869538589E-14</v>
      </c>
      <c r="Y61" s="9">
        <f t="shared" si="16"/>
        <v>17813193952.636139</v>
      </c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</row>
    <row r="62" spans="1:76" s="4" customFormat="1" x14ac:dyDescent="0.3">
      <c r="A62" s="26">
        <v>180</v>
      </c>
      <c r="B62" s="26">
        <f t="shared" si="2"/>
        <v>3</v>
      </c>
      <c r="C62" s="26">
        <v>20</v>
      </c>
      <c r="D62" s="26">
        <f t="shared" si="0"/>
        <v>29.146000000000001</v>
      </c>
      <c r="E62" s="26">
        <f t="shared" si="3"/>
        <v>4.8576666666666667E-7</v>
      </c>
      <c r="F62" s="26">
        <v>21.1</v>
      </c>
      <c r="G62" s="26">
        <f t="shared" si="4"/>
        <v>294.10000000000002</v>
      </c>
      <c r="H62" s="26">
        <v>101.3</v>
      </c>
      <c r="I62" s="26">
        <f t="shared" si="5"/>
        <v>101300</v>
      </c>
      <c r="J62" s="26">
        <f t="shared" si="6"/>
        <v>2.0124824921938581E-5</v>
      </c>
      <c r="K62" s="20">
        <v>177.32178217821783</v>
      </c>
      <c r="L62" s="27">
        <f t="shared" si="7"/>
        <v>1.7732178217821784E-4</v>
      </c>
      <c r="M62" s="29">
        <f t="shared" si="8"/>
        <v>4.7762865441819992E-3</v>
      </c>
      <c r="N62" s="27">
        <f t="shared" si="9"/>
        <v>7.4714315989471834E-7</v>
      </c>
      <c r="O62" s="21">
        <f t="shared" si="10"/>
        <v>2.032E-3</v>
      </c>
      <c r="P62" s="21">
        <v>4.5724343480153871E-11</v>
      </c>
      <c r="Q62" s="2">
        <v>0.31</v>
      </c>
      <c r="R62" s="27">
        <f t="shared" si="11"/>
        <v>131000</v>
      </c>
      <c r="S62" s="2">
        <f t="shared" si="12"/>
        <v>5.1398579432804297E-3</v>
      </c>
      <c r="T62" s="11">
        <v>0.11</v>
      </c>
      <c r="U62" s="30">
        <f t="shared" si="13"/>
        <v>111000.00000000001</v>
      </c>
      <c r="V62" s="30">
        <f t="shared" si="1"/>
        <v>19.682717821782184</v>
      </c>
      <c r="W62" s="11">
        <f t="shared" si="14"/>
        <v>1416.7492152392065</v>
      </c>
      <c r="X62" s="9">
        <f t="shared" si="15"/>
        <v>2.9635077696353973E-14</v>
      </c>
      <c r="Y62" s="9">
        <f t="shared" si="16"/>
        <v>17846243788.744362</v>
      </c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</row>
    <row r="63" spans="1:76" s="4" customFormat="1" x14ac:dyDescent="0.3">
      <c r="A63" s="26">
        <v>183</v>
      </c>
      <c r="B63" s="26">
        <f t="shared" si="2"/>
        <v>3.05</v>
      </c>
      <c r="C63" s="26">
        <v>20</v>
      </c>
      <c r="D63" s="26">
        <f t="shared" si="0"/>
        <v>29.146000000000001</v>
      </c>
      <c r="E63" s="26">
        <f t="shared" si="3"/>
        <v>4.8576666666666667E-7</v>
      </c>
      <c r="F63" s="26">
        <v>21.1</v>
      </c>
      <c r="G63" s="26">
        <f t="shared" si="4"/>
        <v>294.10000000000002</v>
      </c>
      <c r="H63" s="26">
        <v>101.3</v>
      </c>
      <c r="I63" s="26">
        <f t="shared" si="5"/>
        <v>101300</v>
      </c>
      <c r="J63" s="26">
        <f t="shared" si="6"/>
        <v>2.0124824921938581E-5</v>
      </c>
      <c r="K63" s="20">
        <v>181.55445544554456</v>
      </c>
      <c r="L63" s="27">
        <f t="shared" si="7"/>
        <v>1.8155445544554456E-4</v>
      </c>
      <c r="M63" s="29">
        <f t="shared" si="8"/>
        <v>4.7762865441819992E-3</v>
      </c>
      <c r="N63" s="27">
        <f t="shared" si="9"/>
        <v>7.6497747692506481E-7</v>
      </c>
      <c r="O63" s="21">
        <f t="shared" si="10"/>
        <v>2.032E-3</v>
      </c>
      <c r="P63" s="21">
        <v>4.5724343480153871E-11</v>
      </c>
      <c r="Q63" s="2">
        <v>0.31</v>
      </c>
      <c r="R63" s="27">
        <f t="shared" si="11"/>
        <v>131000</v>
      </c>
      <c r="S63" s="2">
        <f t="shared" si="12"/>
        <v>5.1398579432804297E-3</v>
      </c>
      <c r="T63" s="11">
        <v>0.11</v>
      </c>
      <c r="U63" s="30">
        <f t="shared" si="13"/>
        <v>111000.00000000001</v>
      </c>
      <c r="V63" s="30">
        <f t="shared" si="1"/>
        <v>20.152544554455449</v>
      </c>
      <c r="W63" s="11">
        <f t="shared" si="14"/>
        <v>1481.0896734878847</v>
      </c>
      <c r="X63" s="9">
        <f t="shared" si="15"/>
        <v>3.0357540464877376E-14</v>
      </c>
      <c r="Y63" s="9">
        <f t="shared" si="16"/>
        <v>18281310867.949158</v>
      </c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</row>
    <row r="64" spans="1:76" s="4" customFormat="1" x14ac:dyDescent="0.3">
      <c r="A64" s="26">
        <v>186</v>
      </c>
      <c r="B64" s="26">
        <f t="shared" si="2"/>
        <v>3.1</v>
      </c>
      <c r="C64" s="26">
        <v>20</v>
      </c>
      <c r="D64" s="26">
        <f t="shared" si="0"/>
        <v>29.146000000000001</v>
      </c>
      <c r="E64" s="26">
        <f t="shared" si="3"/>
        <v>4.8576666666666667E-7</v>
      </c>
      <c r="F64" s="26">
        <v>21.1</v>
      </c>
      <c r="G64" s="26">
        <f t="shared" si="4"/>
        <v>294.10000000000002</v>
      </c>
      <c r="H64" s="26">
        <v>101.3</v>
      </c>
      <c r="I64" s="26">
        <f t="shared" si="5"/>
        <v>101300</v>
      </c>
      <c r="J64" s="26">
        <f t="shared" si="6"/>
        <v>2.0124824921938581E-5</v>
      </c>
      <c r="K64" s="20">
        <v>171.05940594059408</v>
      </c>
      <c r="L64" s="27">
        <f t="shared" si="7"/>
        <v>1.7105940594059406E-4</v>
      </c>
      <c r="M64" s="29">
        <f t="shared" si="8"/>
        <v>4.7762865441819992E-3</v>
      </c>
      <c r="N64" s="27">
        <f t="shared" si="9"/>
        <v>7.2075671422993646E-7</v>
      </c>
      <c r="O64" s="21">
        <f t="shared" si="10"/>
        <v>2.032E-3</v>
      </c>
      <c r="P64" s="21">
        <v>4.5724343480153871E-11</v>
      </c>
      <c r="Q64" s="2">
        <v>0.31</v>
      </c>
      <c r="R64" s="27">
        <f t="shared" si="11"/>
        <v>131000</v>
      </c>
      <c r="S64" s="2">
        <f t="shared" si="12"/>
        <v>5.1398579432804297E-3</v>
      </c>
      <c r="T64" s="11">
        <v>0.11</v>
      </c>
      <c r="U64" s="30">
        <f t="shared" si="13"/>
        <v>111000.00000000001</v>
      </c>
      <c r="V64" s="30">
        <f t="shared" si="1"/>
        <v>18.987594059405943</v>
      </c>
      <c r="W64" s="11">
        <f t="shared" si="14"/>
        <v>1324.091233227578</v>
      </c>
      <c r="X64" s="9">
        <f t="shared" si="15"/>
        <v>2.8568044427360041E-14</v>
      </c>
      <c r="Y64" s="9">
        <f t="shared" si="16"/>
        <v>17203676354.156216</v>
      </c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</row>
    <row r="65" spans="1:76" s="4" customFormat="1" x14ac:dyDescent="0.3">
      <c r="A65" s="26">
        <v>189</v>
      </c>
      <c r="B65" s="26">
        <f t="shared" si="2"/>
        <v>3.15</v>
      </c>
      <c r="C65" s="26">
        <v>20</v>
      </c>
      <c r="D65" s="26">
        <f t="shared" si="0"/>
        <v>29.146000000000001</v>
      </c>
      <c r="E65" s="26">
        <f t="shared" si="3"/>
        <v>4.8576666666666667E-7</v>
      </c>
      <c r="F65" s="26">
        <v>21.1</v>
      </c>
      <c r="G65" s="26">
        <f t="shared" si="4"/>
        <v>294.10000000000002</v>
      </c>
      <c r="H65" s="26">
        <v>101.3</v>
      </c>
      <c r="I65" s="26">
        <f t="shared" si="5"/>
        <v>101300</v>
      </c>
      <c r="J65" s="26">
        <f t="shared" si="6"/>
        <v>2.0124824921938581E-5</v>
      </c>
      <c r="K65" s="20">
        <v>178.63366336633663</v>
      </c>
      <c r="L65" s="27">
        <f t="shared" si="7"/>
        <v>1.7863366336633664E-4</v>
      </c>
      <c r="M65" s="29">
        <f t="shared" si="8"/>
        <v>4.7762865441819992E-3</v>
      </c>
      <c r="N65" s="27">
        <f t="shared" si="9"/>
        <v>7.5267075523160932E-7</v>
      </c>
      <c r="O65" s="21">
        <f t="shared" si="10"/>
        <v>2.032E-3</v>
      </c>
      <c r="P65" s="21">
        <v>4.5724343480153871E-11</v>
      </c>
      <c r="Q65" s="2">
        <v>0.31</v>
      </c>
      <c r="R65" s="27">
        <f t="shared" si="11"/>
        <v>131000</v>
      </c>
      <c r="S65" s="2">
        <f t="shared" si="12"/>
        <v>5.1398579432804297E-3</v>
      </c>
      <c r="T65" s="11">
        <v>0.11</v>
      </c>
      <c r="U65" s="30">
        <f t="shared" si="13"/>
        <v>111000.00000000001</v>
      </c>
      <c r="V65" s="30">
        <f t="shared" si="1"/>
        <v>19.828336633663369</v>
      </c>
      <c r="W65" s="11">
        <f t="shared" si="14"/>
        <v>1436.5432528327351</v>
      </c>
      <c r="X65" s="9">
        <f t="shared" si="15"/>
        <v>2.9858888123843213E-14</v>
      </c>
      <c r="Y65" s="9">
        <f t="shared" si="16"/>
        <v>17981022428.178383</v>
      </c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</row>
    <row r="66" spans="1:76" s="4" customFormat="1" x14ac:dyDescent="0.3">
      <c r="A66" s="26">
        <v>192</v>
      </c>
      <c r="B66" s="26">
        <f t="shared" si="2"/>
        <v>3.2</v>
      </c>
      <c r="C66" s="26">
        <v>20</v>
      </c>
      <c r="D66" s="26">
        <f t="shared" ref="D66:D82" si="17">(C66*1.4573)</f>
        <v>29.146000000000001</v>
      </c>
      <c r="E66" s="26">
        <f t="shared" si="3"/>
        <v>4.8576666666666667E-7</v>
      </c>
      <c r="F66" s="26">
        <v>21.1</v>
      </c>
      <c r="G66" s="26">
        <f t="shared" si="4"/>
        <v>294.10000000000002</v>
      </c>
      <c r="H66" s="26">
        <v>101.3</v>
      </c>
      <c r="I66" s="26">
        <f t="shared" si="5"/>
        <v>101300</v>
      </c>
      <c r="J66" s="26">
        <f t="shared" si="6"/>
        <v>2.0124824921938581E-5</v>
      </c>
      <c r="K66" s="20">
        <v>169.67326732673268</v>
      </c>
      <c r="L66" s="27">
        <f t="shared" si="7"/>
        <v>1.6967326732673268E-4</v>
      </c>
      <c r="M66" s="29">
        <f t="shared" si="8"/>
        <v>4.7762865441819992E-3</v>
      </c>
      <c r="N66" s="27">
        <f t="shared" si="9"/>
        <v>7.1491623613812699E-7</v>
      </c>
      <c r="O66" s="21">
        <f t="shared" si="10"/>
        <v>2.032E-3</v>
      </c>
      <c r="P66" s="21">
        <v>4.5724343480153871E-11</v>
      </c>
      <c r="Q66" s="2">
        <v>0.31</v>
      </c>
      <c r="R66" s="27">
        <f t="shared" si="11"/>
        <v>131000</v>
      </c>
      <c r="S66" s="2">
        <f t="shared" si="12"/>
        <v>5.1398579432804297E-3</v>
      </c>
      <c r="T66" s="11">
        <v>0.11</v>
      </c>
      <c r="U66" s="30">
        <f t="shared" si="13"/>
        <v>111000.00000000001</v>
      </c>
      <c r="V66" s="30">
        <f t="shared" ref="V66:V82" si="18">(L66*U66)</f>
        <v>18.833732673267331</v>
      </c>
      <c r="W66" s="11">
        <f t="shared" si="14"/>
        <v>1303.991429415883</v>
      </c>
      <c r="X66" s="9">
        <f t="shared" si="15"/>
        <v>2.8332158680850219E-14</v>
      </c>
      <c r="Y66" s="9">
        <f t="shared" si="16"/>
        <v>17061625957.608002</v>
      </c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</row>
    <row r="67" spans="1:76" s="4" customFormat="1" x14ac:dyDescent="0.3">
      <c r="A67" s="26">
        <v>195</v>
      </c>
      <c r="B67" s="26">
        <f t="shared" ref="B67:B82" si="19">(A67/60)</f>
        <v>3.25</v>
      </c>
      <c r="C67" s="26">
        <v>20</v>
      </c>
      <c r="D67" s="26">
        <f t="shared" si="17"/>
        <v>29.146000000000001</v>
      </c>
      <c r="E67" s="26">
        <f t="shared" ref="E67:E82" si="20">(D67/(1000000*60))</f>
        <v>4.8576666666666667E-7</v>
      </c>
      <c r="F67" s="26">
        <v>21.1</v>
      </c>
      <c r="G67" s="26">
        <f t="shared" ref="G67:G82" si="21">(273+F67)</f>
        <v>294.10000000000002</v>
      </c>
      <c r="H67" s="26">
        <v>101.3</v>
      </c>
      <c r="I67" s="26">
        <f t="shared" ref="I67:I82" si="22">(H67*1000)</f>
        <v>101300</v>
      </c>
      <c r="J67" s="26">
        <f t="shared" ref="J67:J82" si="23">((I67*E67)/(8.314*G67))</f>
        <v>2.0124824921938581E-5</v>
      </c>
      <c r="K67" s="20">
        <v>178.78217821782181</v>
      </c>
      <c r="L67" s="27">
        <f t="shared" ref="L67:L82" si="24">(K67/1000000)</f>
        <v>1.7878217821782182E-4</v>
      </c>
      <c r="M67" s="29">
        <f t="shared" ref="M67:M82" si="25">(3.142*3.07*3.07*25.4*25.4)/(4*1000000)</f>
        <v>4.7762865441819992E-3</v>
      </c>
      <c r="N67" s="27">
        <f t="shared" ref="N67:N82" si="26">(L67*J67)/M67</f>
        <v>7.5329652074144609E-7</v>
      </c>
      <c r="O67" s="21">
        <f t="shared" ref="O67:O82" si="27">(2.032/1000)</f>
        <v>2.032E-3</v>
      </c>
      <c r="P67" s="21">
        <v>4.5724343480153871E-11</v>
      </c>
      <c r="Q67" s="2">
        <v>0.31</v>
      </c>
      <c r="R67" s="27">
        <f t="shared" ref="R67:R82" si="28">(1+Q67)*100000*1</f>
        <v>131000</v>
      </c>
      <c r="S67" s="2">
        <f t="shared" ref="S67:S82" si="29">(5.13985794328043/1000)</f>
        <v>5.1398579432804297E-3</v>
      </c>
      <c r="T67" s="11">
        <v>0.11</v>
      </c>
      <c r="U67" s="30">
        <f t="shared" ref="U67:U82" si="30">(1+T67)*100000</f>
        <v>111000.00000000001</v>
      </c>
      <c r="V67" s="30">
        <f t="shared" si="18"/>
        <v>19.844821782178226</v>
      </c>
      <c r="W67" s="11">
        <f t="shared" ref="W67:W82" si="31">((N67*O67/P67) + SQRT(V67))^2</f>
        <v>1438.7924519810274</v>
      </c>
      <c r="X67" s="9">
        <f t="shared" ref="X67:X82" si="32">(N67*S67)/(R67-W67)</f>
        <v>2.9884231391895776E-14</v>
      </c>
      <c r="Y67" s="9">
        <f t="shared" ref="Y67:Y82" si="33">(X67*6.022E+23)</f>
        <v>17996284144.199638</v>
      </c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</row>
    <row r="68" spans="1:76" s="4" customFormat="1" x14ac:dyDescent="0.3">
      <c r="A68" s="26">
        <v>198</v>
      </c>
      <c r="B68" s="26">
        <f t="shared" si="19"/>
        <v>3.3</v>
      </c>
      <c r="C68" s="26">
        <v>20</v>
      </c>
      <c r="D68" s="26">
        <f t="shared" si="17"/>
        <v>29.146000000000001</v>
      </c>
      <c r="E68" s="26">
        <f t="shared" si="20"/>
        <v>4.8576666666666667E-7</v>
      </c>
      <c r="F68" s="26">
        <v>21.1</v>
      </c>
      <c r="G68" s="26">
        <f t="shared" si="21"/>
        <v>294.10000000000002</v>
      </c>
      <c r="H68" s="26">
        <v>101.3</v>
      </c>
      <c r="I68" s="26">
        <f t="shared" si="22"/>
        <v>101300</v>
      </c>
      <c r="J68" s="26">
        <f t="shared" si="23"/>
        <v>2.0124824921938581E-5</v>
      </c>
      <c r="K68" s="20">
        <v>181.10891089108912</v>
      </c>
      <c r="L68" s="27">
        <f t="shared" si="24"/>
        <v>1.8110891089108912E-4</v>
      </c>
      <c r="M68" s="29">
        <f t="shared" si="25"/>
        <v>4.7762865441819992E-3</v>
      </c>
      <c r="N68" s="27">
        <f t="shared" si="26"/>
        <v>7.6310018039555471E-7</v>
      </c>
      <c r="O68" s="21">
        <f t="shared" si="27"/>
        <v>2.032E-3</v>
      </c>
      <c r="P68" s="21">
        <v>4.5724343480153871E-11</v>
      </c>
      <c r="Q68" s="2">
        <v>0.31</v>
      </c>
      <c r="R68" s="27">
        <f t="shared" si="28"/>
        <v>131000</v>
      </c>
      <c r="S68" s="2">
        <f t="shared" si="29"/>
        <v>5.1398579432804297E-3</v>
      </c>
      <c r="T68" s="11">
        <v>0.11</v>
      </c>
      <c r="U68" s="30">
        <f t="shared" si="30"/>
        <v>111000.00000000001</v>
      </c>
      <c r="V68" s="30">
        <f t="shared" si="18"/>
        <v>20.103089108910893</v>
      </c>
      <c r="W68" s="11">
        <f t="shared" si="31"/>
        <v>1474.2519478613253</v>
      </c>
      <c r="X68" s="9">
        <f t="shared" si="32"/>
        <v>3.028144274562295E-14</v>
      </c>
      <c r="Y68" s="9">
        <f t="shared" si="33"/>
        <v>18235484821.414143</v>
      </c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</row>
    <row r="69" spans="1:76" s="4" customFormat="1" x14ac:dyDescent="0.3">
      <c r="A69" s="26">
        <v>201</v>
      </c>
      <c r="B69" s="26">
        <f t="shared" si="19"/>
        <v>3.35</v>
      </c>
      <c r="C69" s="26">
        <v>20</v>
      </c>
      <c r="D69" s="26">
        <f t="shared" si="17"/>
        <v>29.146000000000001</v>
      </c>
      <c r="E69" s="26">
        <f t="shared" si="20"/>
        <v>4.8576666666666667E-7</v>
      </c>
      <c r="F69" s="26">
        <v>21.1</v>
      </c>
      <c r="G69" s="26">
        <f t="shared" si="21"/>
        <v>294.10000000000002</v>
      </c>
      <c r="H69" s="26">
        <v>101.3</v>
      </c>
      <c r="I69" s="26">
        <f t="shared" si="22"/>
        <v>101300</v>
      </c>
      <c r="J69" s="26">
        <f t="shared" si="23"/>
        <v>2.0124824921938581E-5</v>
      </c>
      <c r="K69" s="20">
        <v>180.2673267326733</v>
      </c>
      <c r="L69" s="27">
        <f t="shared" si="24"/>
        <v>1.8026732673267329E-4</v>
      </c>
      <c r="M69" s="29">
        <f t="shared" si="25"/>
        <v>4.7762865441819992E-3</v>
      </c>
      <c r="N69" s="27">
        <f t="shared" si="26"/>
        <v>7.5955417583981337E-7</v>
      </c>
      <c r="O69" s="21">
        <f t="shared" si="27"/>
        <v>2.032E-3</v>
      </c>
      <c r="P69" s="21">
        <v>4.5724343480153871E-11</v>
      </c>
      <c r="Q69" s="2">
        <v>0.31</v>
      </c>
      <c r="R69" s="27">
        <f t="shared" si="28"/>
        <v>131000</v>
      </c>
      <c r="S69" s="2">
        <f t="shared" si="29"/>
        <v>5.1398579432804297E-3</v>
      </c>
      <c r="T69" s="11">
        <v>0.11</v>
      </c>
      <c r="U69" s="30">
        <f t="shared" si="30"/>
        <v>111000.00000000001</v>
      </c>
      <c r="V69" s="30">
        <f t="shared" si="18"/>
        <v>20.00967326732674</v>
      </c>
      <c r="W69" s="11">
        <f t="shared" si="31"/>
        <v>1461.3779914066224</v>
      </c>
      <c r="X69" s="9">
        <f t="shared" si="32"/>
        <v>3.0137734241013461E-14</v>
      </c>
      <c r="Y69" s="9">
        <f t="shared" si="33"/>
        <v>18148943559.938309</v>
      </c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</row>
    <row r="70" spans="1:76" s="4" customFormat="1" x14ac:dyDescent="0.3">
      <c r="A70" s="26">
        <v>204</v>
      </c>
      <c r="B70" s="26">
        <f t="shared" si="19"/>
        <v>3.4</v>
      </c>
      <c r="C70" s="26">
        <v>20</v>
      </c>
      <c r="D70" s="26">
        <f t="shared" si="17"/>
        <v>29.146000000000001</v>
      </c>
      <c r="E70" s="26">
        <f t="shared" si="20"/>
        <v>4.8576666666666667E-7</v>
      </c>
      <c r="F70" s="26">
        <v>21.1</v>
      </c>
      <c r="G70" s="26">
        <f t="shared" si="21"/>
        <v>294.10000000000002</v>
      </c>
      <c r="H70" s="26">
        <v>101.3</v>
      </c>
      <c r="I70" s="26">
        <f t="shared" si="22"/>
        <v>101300</v>
      </c>
      <c r="J70" s="26">
        <f t="shared" si="23"/>
        <v>2.0124824921938581E-5</v>
      </c>
      <c r="K70" s="20">
        <v>178.33663366336637</v>
      </c>
      <c r="L70" s="27">
        <f t="shared" si="24"/>
        <v>1.7833663366336637E-4</v>
      </c>
      <c r="M70" s="29">
        <f t="shared" si="25"/>
        <v>4.7762865441819992E-3</v>
      </c>
      <c r="N70" s="27">
        <f t="shared" si="26"/>
        <v>7.5141922421193599E-7</v>
      </c>
      <c r="O70" s="21">
        <f t="shared" si="27"/>
        <v>2.032E-3</v>
      </c>
      <c r="P70" s="21">
        <v>4.5724343480153871E-11</v>
      </c>
      <c r="Q70" s="2">
        <v>0.31</v>
      </c>
      <c r="R70" s="27">
        <f t="shared" si="28"/>
        <v>131000</v>
      </c>
      <c r="S70" s="2">
        <f t="shared" si="29"/>
        <v>5.1398579432804297E-3</v>
      </c>
      <c r="T70" s="11">
        <v>0.11</v>
      </c>
      <c r="U70" s="30">
        <f t="shared" si="30"/>
        <v>111000.00000000001</v>
      </c>
      <c r="V70" s="30">
        <f t="shared" si="18"/>
        <v>19.79536633663367</v>
      </c>
      <c r="W70" s="11">
        <f t="shared" si="31"/>
        <v>1432.0499579831603</v>
      </c>
      <c r="X70" s="9">
        <f t="shared" si="32"/>
        <v>2.980820540146611E-14</v>
      </c>
      <c r="Y70" s="9">
        <f t="shared" si="33"/>
        <v>17950501292.762894</v>
      </c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</row>
    <row r="71" spans="1:76" s="4" customFormat="1" x14ac:dyDescent="0.3">
      <c r="A71" s="26">
        <v>207</v>
      </c>
      <c r="B71" s="26">
        <f t="shared" si="19"/>
        <v>3.45</v>
      </c>
      <c r="C71" s="26">
        <v>20</v>
      </c>
      <c r="D71" s="26">
        <f t="shared" si="17"/>
        <v>29.146000000000001</v>
      </c>
      <c r="E71" s="26">
        <f t="shared" si="20"/>
        <v>4.8576666666666667E-7</v>
      </c>
      <c r="F71" s="26">
        <v>21.1</v>
      </c>
      <c r="G71" s="26">
        <f t="shared" si="21"/>
        <v>294.10000000000002</v>
      </c>
      <c r="H71" s="26">
        <v>101.3</v>
      </c>
      <c r="I71" s="26">
        <f t="shared" si="22"/>
        <v>101300</v>
      </c>
      <c r="J71" s="26">
        <f t="shared" si="23"/>
        <v>2.0124824921938581E-5</v>
      </c>
      <c r="K71" s="20">
        <v>181.2574257425743</v>
      </c>
      <c r="L71" s="27">
        <f t="shared" si="24"/>
        <v>1.812574257425743E-4</v>
      </c>
      <c r="M71" s="29">
        <f t="shared" si="25"/>
        <v>4.7762865441819992E-3</v>
      </c>
      <c r="N71" s="27">
        <f t="shared" si="26"/>
        <v>7.6372594590539148E-7</v>
      </c>
      <c r="O71" s="21">
        <f t="shared" si="27"/>
        <v>2.032E-3</v>
      </c>
      <c r="P71" s="21">
        <v>4.5724343480153871E-11</v>
      </c>
      <c r="Q71" s="2">
        <v>0.31</v>
      </c>
      <c r="R71" s="27">
        <f t="shared" si="28"/>
        <v>131000</v>
      </c>
      <c r="S71" s="2">
        <f t="shared" si="29"/>
        <v>5.1398579432804297E-3</v>
      </c>
      <c r="T71" s="11">
        <v>0.11</v>
      </c>
      <c r="U71" s="30">
        <f t="shared" si="30"/>
        <v>111000.00000000001</v>
      </c>
      <c r="V71" s="30">
        <f t="shared" si="18"/>
        <v>20.11957425742575</v>
      </c>
      <c r="W71" s="11">
        <f t="shared" si="31"/>
        <v>1476.5294897519575</v>
      </c>
      <c r="X71" s="9">
        <f t="shared" si="32"/>
        <v>3.030680736153222E-14</v>
      </c>
      <c r="Y71" s="9">
        <f t="shared" si="33"/>
        <v>18250759393.114704</v>
      </c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</row>
    <row r="72" spans="1:76" s="4" customFormat="1" x14ac:dyDescent="0.3">
      <c r="A72" s="26">
        <v>210</v>
      </c>
      <c r="B72" s="26">
        <f t="shared" si="19"/>
        <v>3.5</v>
      </c>
      <c r="C72" s="26">
        <v>20</v>
      </c>
      <c r="D72" s="26">
        <f t="shared" si="17"/>
        <v>29.146000000000001</v>
      </c>
      <c r="E72" s="26">
        <f t="shared" si="20"/>
        <v>4.8576666666666667E-7</v>
      </c>
      <c r="F72" s="26">
        <v>21.1</v>
      </c>
      <c r="G72" s="26">
        <f t="shared" si="21"/>
        <v>294.10000000000002</v>
      </c>
      <c r="H72" s="26">
        <v>101.3</v>
      </c>
      <c r="I72" s="26">
        <f t="shared" si="22"/>
        <v>101300</v>
      </c>
      <c r="J72" s="26">
        <f t="shared" si="23"/>
        <v>2.0124824921938581E-5</v>
      </c>
      <c r="K72" s="20">
        <v>182.34653465346537</v>
      </c>
      <c r="L72" s="27">
        <f t="shared" si="24"/>
        <v>1.8234653465346536E-4</v>
      </c>
      <c r="M72" s="29">
        <f t="shared" si="25"/>
        <v>4.7762865441819992E-3</v>
      </c>
      <c r="N72" s="27">
        <f t="shared" si="26"/>
        <v>7.6831489297752731E-7</v>
      </c>
      <c r="O72" s="21">
        <f t="shared" si="27"/>
        <v>2.032E-3</v>
      </c>
      <c r="P72" s="21">
        <v>4.5724343480153871E-11</v>
      </c>
      <c r="Q72" s="2">
        <v>0.31</v>
      </c>
      <c r="R72" s="27">
        <f t="shared" si="28"/>
        <v>131000</v>
      </c>
      <c r="S72" s="2">
        <f t="shared" si="29"/>
        <v>5.1398579432804297E-3</v>
      </c>
      <c r="T72" s="11">
        <v>0.11</v>
      </c>
      <c r="U72" s="30">
        <f t="shared" si="30"/>
        <v>111000.00000000001</v>
      </c>
      <c r="V72" s="30">
        <f t="shared" si="18"/>
        <v>20.240465346534659</v>
      </c>
      <c r="W72" s="11">
        <f t="shared" si="31"/>
        <v>1493.2834041962544</v>
      </c>
      <c r="X72" s="9">
        <f t="shared" si="32"/>
        <v>3.0492854034252866E-14</v>
      </c>
      <c r="Y72" s="9">
        <f t="shared" si="33"/>
        <v>18362796699.427078</v>
      </c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</row>
    <row r="73" spans="1:76" s="4" customFormat="1" x14ac:dyDescent="0.3">
      <c r="A73" s="26">
        <v>213</v>
      </c>
      <c r="B73" s="26">
        <f t="shared" si="19"/>
        <v>3.55</v>
      </c>
      <c r="C73" s="26">
        <v>20</v>
      </c>
      <c r="D73" s="26">
        <f t="shared" si="17"/>
        <v>29.146000000000001</v>
      </c>
      <c r="E73" s="26">
        <f t="shared" si="20"/>
        <v>4.8576666666666667E-7</v>
      </c>
      <c r="F73" s="26">
        <v>21.1</v>
      </c>
      <c r="G73" s="26">
        <f t="shared" si="21"/>
        <v>294.10000000000002</v>
      </c>
      <c r="H73" s="26">
        <v>101.3</v>
      </c>
      <c r="I73" s="26">
        <f t="shared" si="22"/>
        <v>101300</v>
      </c>
      <c r="J73" s="26">
        <f t="shared" si="23"/>
        <v>2.0124824921938581E-5</v>
      </c>
      <c r="K73" s="20">
        <v>183.31188118811883</v>
      </c>
      <c r="L73" s="27">
        <f t="shared" si="24"/>
        <v>1.8331188118811883E-4</v>
      </c>
      <c r="M73" s="29">
        <f t="shared" si="25"/>
        <v>4.7762865441819992E-3</v>
      </c>
      <c r="N73" s="27">
        <f t="shared" si="26"/>
        <v>7.723823687914661E-7</v>
      </c>
      <c r="O73" s="21">
        <f t="shared" si="27"/>
        <v>2.032E-3</v>
      </c>
      <c r="P73" s="21">
        <v>4.5724343480153871E-11</v>
      </c>
      <c r="Q73" s="2">
        <v>0.31</v>
      </c>
      <c r="R73" s="27">
        <f t="shared" si="28"/>
        <v>131000</v>
      </c>
      <c r="S73" s="2">
        <f t="shared" si="29"/>
        <v>5.1398579432804297E-3</v>
      </c>
      <c r="T73" s="11">
        <v>0.11</v>
      </c>
      <c r="U73" s="30">
        <f t="shared" si="30"/>
        <v>111000.00000000001</v>
      </c>
      <c r="V73" s="30">
        <f t="shared" si="18"/>
        <v>20.347618811881194</v>
      </c>
      <c r="W73" s="11">
        <f t="shared" si="31"/>
        <v>1508.2098743309639</v>
      </c>
      <c r="X73" s="9">
        <f t="shared" si="32"/>
        <v>3.065781737691504E-14</v>
      </c>
      <c r="Y73" s="9">
        <f t="shared" si="33"/>
        <v>18462137624.378239</v>
      </c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</row>
    <row r="74" spans="1:76" s="4" customFormat="1" x14ac:dyDescent="0.3">
      <c r="A74" s="26">
        <v>216</v>
      </c>
      <c r="B74" s="26">
        <f t="shared" si="19"/>
        <v>3.6</v>
      </c>
      <c r="C74" s="26">
        <v>20</v>
      </c>
      <c r="D74" s="26">
        <f t="shared" si="17"/>
        <v>29.146000000000001</v>
      </c>
      <c r="E74" s="26">
        <f t="shared" si="20"/>
        <v>4.8576666666666667E-7</v>
      </c>
      <c r="F74" s="26">
        <v>21.1</v>
      </c>
      <c r="G74" s="26">
        <f t="shared" si="21"/>
        <v>294.10000000000002</v>
      </c>
      <c r="H74" s="26">
        <v>101.3</v>
      </c>
      <c r="I74" s="26">
        <f t="shared" si="22"/>
        <v>101300</v>
      </c>
      <c r="J74" s="26">
        <f t="shared" si="23"/>
        <v>2.0124824921938581E-5</v>
      </c>
      <c r="K74" s="20">
        <v>174.2772277227723</v>
      </c>
      <c r="L74" s="27">
        <f t="shared" si="24"/>
        <v>1.7427722772277231E-4</v>
      </c>
      <c r="M74" s="29">
        <f t="shared" si="25"/>
        <v>4.7762865441819992E-3</v>
      </c>
      <c r="N74" s="27">
        <f t="shared" si="26"/>
        <v>7.343149669430655E-7</v>
      </c>
      <c r="O74" s="21">
        <f t="shared" si="27"/>
        <v>2.032E-3</v>
      </c>
      <c r="P74" s="21">
        <v>4.5724343480153871E-11</v>
      </c>
      <c r="Q74" s="2">
        <v>0.31</v>
      </c>
      <c r="R74" s="27">
        <f t="shared" si="28"/>
        <v>131000</v>
      </c>
      <c r="S74" s="2">
        <f t="shared" si="29"/>
        <v>5.1398579432804297E-3</v>
      </c>
      <c r="T74" s="11">
        <v>0.11</v>
      </c>
      <c r="U74" s="30">
        <f t="shared" si="30"/>
        <v>111000.00000000001</v>
      </c>
      <c r="V74" s="30">
        <f t="shared" si="18"/>
        <v>19.34477227722773</v>
      </c>
      <c r="W74" s="11">
        <f t="shared" si="31"/>
        <v>1371.3238294765538</v>
      </c>
      <c r="X74" s="9">
        <f t="shared" si="32"/>
        <v>2.9116046905756042E-14</v>
      </c>
      <c r="Y74" s="9">
        <f t="shared" si="33"/>
        <v>17533683446.64629</v>
      </c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</row>
    <row r="75" spans="1:76" s="4" customFormat="1" x14ac:dyDescent="0.3">
      <c r="A75" s="26">
        <v>219</v>
      </c>
      <c r="B75" s="26">
        <f t="shared" si="19"/>
        <v>3.65</v>
      </c>
      <c r="C75" s="26">
        <v>20</v>
      </c>
      <c r="D75" s="26">
        <f t="shared" si="17"/>
        <v>29.146000000000001</v>
      </c>
      <c r="E75" s="26">
        <f t="shared" si="20"/>
        <v>4.8576666666666667E-7</v>
      </c>
      <c r="F75" s="26">
        <v>21.1</v>
      </c>
      <c r="G75" s="26">
        <f t="shared" si="21"/>
        <v>294.10000000000002</v>
      </c>
      <c r="H75" s="26">
        <v>101.3</v>
      </c>
      <c r="I75" s="26">
        <f t="shared" si="22"/>
        <v>101300</v>
      </c>
      <c r="J75" s="26">
        <f t="shared" si="23"/>
        <v>2.0124824921938581E-5</v>
      </c>
      <c r="K75" s="20">
        <v>183.46039603960398</v>
      </c>
      <c r="L75" s="27">
        <f t="shared" si="24"/>
        <v>1.8346039603960398E-4</v>
      </c>
      <c r="M75" s="29">
        <f t="shared" si="25"/>
        <v>4.7762865441819992E-3</v>
      </c>
      <c r="N75" s="27">
        <f t="shared" si="26"/>
        <v>7.7300813430130277E-7</v>
      </c>
      <c r="O75" s="21">
        <f t="shared" si="27"/>
        <v>2.032E-3</v>
      </c>
      <c r="P75" s="21">
        <v>4.5724343480153871E-11</v>
      </c>
      <c r="Q75" s="2">
        <v>0.31</v>
      </c>
      <c r="R75" s="27">
        <f t="shared" si="28"/>
        <v>131000</v>
      </c>
      <c r="S75" s="2">
        <f t="shared" si="29"/>
        <v>5.1398579432804297E-3</v>
      </c>
      <c r="T75" s="11">
        <v>0.11</v>
      </c>
      <c r="U75" s="30">
        <f t="shared" si="30"/>
        <v>111000.00000000001</v>
      </c>
      <c r="V75" s="30">
        <f t="shared" si="18"/>
        <v>20.364103960396044</v>
      </c>
      <c r="W75" s="11">
        <f t="shared" si="31"/>
        <v>1510.5126265682106</v>
      </c>
      <c r="X75" s="9">
        <f t="shared" si="32"/>
        <v>3.0683201238188958E-14</v>
      </c>
      <c r="Y75" s="9">
        <f t="shared" si="33"/>
        <v>18477423785.63739</v>
      </c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</row>
    <row r="76" spans="1:76" s="4" customFormat="1" x14ac:dyDescent="0.3">
      <c r="A76" s="26">
        <v>222</v>
      </c>
      <c r="B76" s="26">
        <f t="shared" si="19"/>
        <v>3.7</v>
      </c>
      <c r="C76" s="26">
        <v>20</v>
      </c>
      <c r="D76" s="26">
        <f t="shared" si="17"/>
        <v>29.146000000000001</v>
      </c>
      <c r="E76" s="26">
        <f t="shared" si="20"/>
        <v>4.8576666666666667E-7</v>
      </c>
      <c r="F76" s="26">
        <v>21.1</v>
      </c>
      <c r="G76" s="26">
        <f t="shared" si="21"/>
        <v>294.10000000000002</v>
      </c>
      <c r="H76" s="26">
        <v>101.3</v>
      </c>
      <c r="I76" s="26">
        <f t="shared" si="22"/>
        <v>101300</v>
      </c>
      <c r="J76" s="26">
        <f t="shared" si="23"/>
        <v>2.0124824921938581E-5</v>
      </c>
      <c r="K76" s="20">
        <v>184.94554455445547</v>
      </c>
      <c r="L76" s="27">
        <f t="shared" si="24"/>
        <v>1.8494554455445545E-4</v>
      </c>
      <c r="M76" s="29">
        <f t="shared" si="25"/>
        <v>4.7762865441819992E-3</v>
      </c>
      <c r="N76" s="27">
        <f t="shared" si="26"/>
        <v>7.7926578939966994E-7</v>
      </c>
      <c r="O76" s="21">
        <f t="shared" si="27"/>
        <v>2.032E-3</v>
      </c>
      <c r="P76" s="21">
        <v>4.5724343480153871E-11</v>
      </c>
      <c r="Q76" s="2">
        <v>0.31</v>
      </c>
      <c r="R76" s="27">
        <f t="shared" si="28"/>
        <v>131000</v>
      </c>
      <c r="S76" s="2">
        <f t="shared" si="29"/>
        <v>5.1398579432804297E-3</v>
      </c>
      <c r="T76" s="11">
        <v>0.11</v>
      </c>
      <c r="U76" s="30">
        <f t="shared" si="30"/>
        <v>111000.00000000001</v>
      </c>
      <c r="V76" s="30">
        <f t="shared" si="18"/>
        <v>20.528955445544558</v>
      </c>
      <c r="W76" s="11">
        <f t="shared" si="31"/>
        <v>1533.6335883365018</v>
      </c>
      <c r="X76" s="9">
        <f t="shared" si="32"/>
        <v>3.0937111842908361E-14</v>
      </c>
      <c r="Y76" s="9">
        <f t="shared" si="33"/>
        <v>18630328751.799416</v>
      </c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</row>
    <row r="77" spans="1:76" s="4" customFormat="1" x14ac:dyDescent="0.3">
      <c r="A77" s="26">
        <v>225</v>
      </c>
      <c r="B77" s="26">
        <f t="shared" si="19"/>
        <v>3.75</v>
      </c>
      <c r="C77" s="26">
        <v>20</v>
      </c>
      <c r="D77" s="26">
        <f t="shared" si="17"/>
        <v>29.146000000000001</v>
      </c>
      <c r="E77" s="26">
        <f t="shared" si="20"/>
        <v>4.8576666666666667E-7</v>
      </c>
      <c r="F77" s="26">
        <v>21.1</v>
      </c>
      <c r="G77" s="26">
        <f t="shared" si="21"/>
        <v>294.10000000000002</v>
      </c>
      <c r="H77" s="26">
        <v>101.3</v>
      </c>
      <c r="I77" s="26">
        <f t="shared" si="22"/>
        <v>101300</v>
      </c>
      <c r="J77" s="26">
        <f t="shared" si="23"/>
        <v>2.0124824921938581E-5</v>
      </c>
      <c r="K77" s="20">
        <v>184.67326732673271</v>
      </c>
      <c r="L77" s="27">
        <f t="shared" si="24"/>
        <v>1.8467326732673272E-4</v>
      </c>
      <c r="M77" s="29">
        <f t="shared" si="25"/>
        <v>4.7762865441819992E-3</v>
      </c>
      <c r="N77" s="27">
        <f t="shared" si="26"/>
        <v>7.7811855263163615E-7</v>
      </c>
      <c r="O77" s="21">
        <f t="shared" si="27"/>
        <v>2.032E-3</v>
      </c>
      <c r="P77" s="21">
        <v>4.5724343480153871E-11</v>
      </c>
      <c r="Q77" s="2">
        <v>0.31</v>
      </c>
      <c r="R77" s="27">
        <f t="shared" si="28"/>
        <v>131000</v>
      </c>
      <c r="S77" s="2">
        <f t="shared" si="29"/>
        <v>5.1398579432804297E-3</v>
      </c>
      <c r="T77" s="11">
        <v>0.11</v>
      </c>
      <c r="U77" s="30">
        <f t="shared" si="30"/>
        <v>111000.00000000001</v>
      </c>
      <c r="V77" s="30">
        <f t="shared" si="18"/>
        <v>20.498732673267334</v>
      </c>
      <c r="W77" s="11">
        <f t="shared" si="31"/>
        <v>1529.3820286092077</v>
      </c>
      <c r="X77" s="9">
        <f t="shared" si="32"/>
        <v>3.089055174233694E-14</v>
      </c>
      <c r="Y77" s="9">
        <f t="shared" si="33"/>
        <v>18602290259.235306</v>
      </c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</row>
    <row r="78" spans="1:76" s="4" customFormat="1" x14ac:dyDescent="0.3">
      <c r="A78" s="26">
        <v>228</v>
      </c>
      <c r="B78" s="26">
        <f t="shared" si="19"/>
        <v>3.8</v>
      </c>
      <c r="C78" s="26">
        <v>20</v>
      </c>
      <c r="D78" s="26">
        <f t="shared" si="17"/>
        <v>29.146000000000001</v>
      </c>
      <c r="E78" s="26">
        <f t="shared" si="20"/>
        <v>4.8576666666666667E-7</v>
      </c>
      <c r="F78" s="26">
        <v>21.1</v>
      </c>
      <c r="G78" s="26">
        <f t="shared" si="21"/>
        <v>294.10000000000002</v>
      </c>
      <c r="H78" s="26">
        <v>101.3</v>
      </c>
      <c r="I78" s="26">
        <f t="shared" si="22"/>
        <v>101300</v>
      </c>
      <c r="J78" s="26">
        <f t="shared" si="23"/>
        <v>2.0124824921938581E-5</v>
      </c>
      <c r="K78" s="20">
        <v>183.55940594059408</v>
      </c>
      <c r="L78" s="27">
        <f t="shared" si="24"/>
        <v>1.8355940594059407E-4</v>
      </c>
      <c r="M78" s="29">
        <f t="shared" si="25"/>
        <v>4.7762865441819992E-3</v>
      </c>
      <c r="N78" s="27">
        <f t="shared" si="26"/>
        <v>7.7342531130786058E-7</v>
      </c>
      <c r="O78" s="21">
        <f t="shared" si="27"/>
        <v>2.032E-3</v>
      </c>
      <c r="P78" s="21">
        <v>4.5724343480153871E-11</v>
      </c>
      <c r="Q78" s="2">
        <v>0.31</v>
      </c>
      <c r="R78" s="27">
        <f t="shared" si="28"/>
        <v>131000</v>
      </c>
      <c r="S78" s="2">
        <f t="shared" si="29"/>
        <v>5.1398579432804297E-3</v>
      </c>
      <c r="T78" s="11">
        <v>0.11</v>
      </c>
      <c r="U78" s="30">
        <f t="shared" si="30"/>
        <v>111000.00000000001</v>
      </c>
      <c r="V78" s="30">
        <f t="shared" si="18"/>
        <v>20.375094059405946</v>
      </c>
      <c r="W78" s="11">
        <f t="shared" si="31"/>
        <v>1512.04873866495</v>
      </c>
      <c r="X78" s="9">
        <f t="shared" si="32"/>
        <v>3.070012453774041E-14</v>
      </c>
      <c r="Y78" s="9">
        <f t="shared" si="33"/>
        <v>18487614996.627277</v>
      </c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</row>
    <row r="79" spans="1:76" s="4" customFormat="1" x14ac:dyDescent="0.3">
      <c r="A79" s="26">
        <v>231</v>
      </c>
      <c r="B79" s="26">
        <f t="shared" si="19"/>
        <v>3.85</v>
      </c>
      <c r="C79" s="26">
        <v>20</v>
      </c>
      <c r="D79" s="26">
        <f t="shared" si="17"/>
        <v>29.146000000000001</v>
      </c>
      <c r="E79" s="26">
        <f t="shared" si="20"/>
        <v>4.8576666666666667E-7</v>
      </c>
      <c r="F79" s="26">
        <v>21.1</v>
      </c>
      <c r="G79" s="26">
        <f t="shared" si="21"/>
        <v>294.10000000000002</v>
      </c>
      <c r="H79" s="26">
        <v>101.3</v>
      </c>
      <c r="I79" s="26">
        <f t="shared" si="22"/>
        <v>101300</v>
      </c>
      <c r="J79" s="26">
        <f t="shared" si="23"/>
        <v>2.0124824921938581E-5</v>
      </c>
      <c r="K79" s="20">
        <v>185.73762376237624</v>
      </c>
      <c r="L79" s="27">
        <f t="shared" si="24"/>
        <v>1.8573762376237625E-4</v>
      </c>
      <c r="M79" s="29">
        <f t="shared" si="25"/>
        <v>4.7762865441819992E-3</v>
      </c>
      <c r="N79" s="27">
        <f t="shared" si="26"/>
        <v>7.8260320545213244E-7</v>
      </c>
      <c r="O79" s="21">
        <f t="shared" si="27"/>
        <v>2.032E-3</v>
      </c>
      <c r="P79" s="21">
        <v>4.5724343480153871E-11</v>
      </c>
      <c r="Q79" s="2">
        <v>0.31</v>
      </c>
      <c r="R79" s="27">
        <f t="shared" si="28"/>
        <v>131000</v>
      </c>
      <c r="S79" s="2">
        <f t="shared" si="29"/>
        <v>5.1398579432804297E-3</v>
      </c>
      <c r="T79" s="11">
        <v>0.11</v>
      </c>
      <c r="U79" s="30">
        <f t="shared" si="30"/>
        <v>111000.00000000001</v>
      </c>
      <c r="V79" s="30">
        <f t="shared" si="18"/>
        <v>20.616876237623767</v>
      </c>
      <c r="W79" s="11">
        <f t="shared" si="31"/>
        <v>1546.0342203719936</v>
      </c>
      <c r="X79" s="9">
        <f t="shared" si="32"/>
        <v>3.1072584588311463E-14</v>
      </c>
      <c r="Y79" s="9">
        <f t="shared" si="33"/>
        <v>18711910439.081165</v>
      </c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</row>
    <row r="80" spans="1:76" s="4" customFormat="1" x14ac:dyDescent="0.3">
      <c r="A80" s="26">
        <v>234</v>
      </c>
      <c r="B80" s="26">
        <f t="shared" si="19"/>
        <v>3.9</v>
      </c>
      <c r="C80" s="26">
        <v>20</v>
      </c>
      <c r="D80" s="26">
        <f t="shared" si="17"/>
        <v>29.146000000000001</v>
      </c>
      <c r="E80" s="26">
        <f t="shared" si="20"/>
        <v>4.8576666666666667E-7</v>
      </c>
      <c r="F80" s="26">
        <v>21.1</v>
      </c>
      <c r="G80" s="26">
        <f t="shared" si="21"/>
        <v>294.10000000000002</v>
      </c>
      <c r="H80" s="26">
        <v>101.3</v>
      </c>
      <c r="I80" s="26">
        <f t="shared" si="22"/>
        <v>101300</v>
      </c>
      <c r="J80" s="26">
        <f t="shared" si="23"/>
        <v>2.0124824921938581E-5</v>
      </c>
      <c r="K80" s="20">
        <v>181.08415841584159</v>
      </c>
      <c r="L80" s="27">
        <f t="shared" si="24"/>
        <v>1.8108415841584159E-4</v>
      </c>
      <c r="M80" s="29">
        <f t="shared" si="25"/>
        <v>4.7762865441819992E-3</v>
      </c>
      <c r="N80" s="27">
        <f t="shared" si="26"/>
        <v>7.6299588614391518E-7</v>
      </c>
      <c r="O80" s="21">
        <f t="shared" si="27"/>
        <v>2.032E-3</v>
      </c>
      <c r="P80" s="21">
        <v>4.5724343480153871E-11</v>
      </c>
      <c r="Q80" s="2">
        <v>0.31</v>
      </c>
      <c r="R80" s="27">
        <f t="shared" si="28"/>
        <v>131000</v>
      </c>
      <c r="S80" s="2">
        <f t="shared" si="29"/>
        <v>5.1398579432804297E-3</v>
      </c>
      <c r="T80" s="11">
        <v>0.11</v>
      </c>
      <c r="U80" s="30">
        <f t="shared" si="30"/>
        <v>111000.00000000001</v>
      </c>
      <c r="V80" s="30">
        <f t="shared" si="18"/>
        <v>20.100341584158418</v>
      </c>
      <c r="W80" s="11">
        <f t="shared" si="31"/>
        <v>1473.8725228289738</v>
      </c>
      <c r="X80" s="9">
        <f t="shared" si="32"/>
        <v>3.0277215434996237E-14</v>
      </c>
      <c r="Y80" s="9">
        <f t="shared" si="33"/>
        <v>18232939134.954735</v>
      </c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</row>
    <row r="81" spans="1:76" s="4" customFormat="1" x14ac:dyDescent="0.3">
      <c r="A81" s="26">
        <v>237</v>
      </c>
      <c r="B81" s="26">
        <f t="shared" si="19"/>
        <v>3.95</v>
      </c>
      <c r="C81" s="26">
        <v>20</v>
      </c>
      <c r="D81" s="26">
        <f t="shared" si="17"/>
        <v>29.146000000000001</v>
      </c>
      <c r="E81" s="26">
        <f t="shared" si="20"/>
        <v>4.8576666666666667E-7</v>
      </c>
      <c r="F81" s="26">
        <v>21.1</v>
      </c>
      <c r="G81" s="26">
        <f t="shared" si="21"/>
        <v>294.10000000000002</v>
      </c>
      <c r="H81" s="26">
        <v>101.3</v>
      </c>
      <c r="I81" s="26">
        <f t="shared" si="22"/>
        <v>101300</v>
      </c>
      <c r="J81" s="26">
        <f t="shared" si="23"/>
        <v>2.0124824921938581E-5</v>
      </c>
      <c r="K81" s="20">
        <v>180.76237623762378</v>
      </c>
      <c r="L81" s="27">
        <f t="shared" si="24"/>
        <v>1.8076237623762379E-4</v>
      </c>
      <c r="M81" s="29">
        <f t="shared" si="25"/>
        <v>4.7762865441819992E-3</v>
      </c>
      <c r="N81" s="27">
        <f t="shared" si="26"/>
        <v>7.6164006087260243E-7</v>
      </c>
      <c r="O81" s="21">
        <f t="shared" si="27"/>
        <v>2.032E-3</v>
      </c>
      <c r="P81" s="21">
        <v>4.5724343480153871E-11</v>
      </c>
      <c r="Q81" s="2">
        <v>0.31</v>
      </c>
      <c r="R81" s="27">
        <f t="shared" si="28"/>
        <v>131000</v>
      </c>
      <c r="S81" s="2">
        <f t="shared" si="29"/>
        <v>5.1398579432804297E-3</v>
      </c>
      <c r="T81" s="11">
        <v>0.11</v>
      </c>
      <c r="U81" s="30">
        <f t="shared" si="30"/>
        <v>111000.00000000001</v>
      </c>
      <c r="V81" s="30">
        <f t="shared" si="18"/>
        <v>20.064623762376243</v>
      </c>
      <c r="W81" s="11">
        <f t="shared" si="31"/>
        <v>1468.9442949367244</v>
      </c>
      <c r="X81" s="9">
        <f t="shared" si="32"/>
        <v>3.0222263653206774E-14</v>
      </c>
      <c r="Y81" s="9">
        <f t="shared" si="33"/>
        <v>18199847171.961121</v>
      </c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</row>
    <row r="82" spans="1:76" s="4" customFormat="1" x14ac:dyDescent="0.3">
      <c r="A82" s="26">
        <v>240</v>
      </c>
      <c r="B82" s="26">
        <f t="shared" si="19"/>
        <v>4</v>
      </c>
      <c r="C82" s="26">
        <v>20</v>
      </c>
      <c r="D82" s="26">
        <f t="shared" si="17"/>
        <v>29.146000000000001</v>
      </c>
      <c r="E82" s="26">
        <f t="shared" si="20"/>
        <v>4.8576666666666667E-7</v>
      </c>
      <c r="F82" s="26">
        <v>21.1</v>
      </c>
      <c r="G82" s="26">
        <f t="shared" si="21"/>
        <v>294.10000000000002</v>
      </c>
      <c r="H82" s="26">
        <v>101.3</v>
      </c>
      <c r="I82" s="26">
        <f t="shared" si="22"/>
        <v>101300</v>
      </c>
      <c r="J82" s="26">
        <f t="shared" si="23"/>
        <v>2.0124824921938581E-5</v>
      </c>
      <c r="K82" s="20">
        <v>183.13861386138615</v>
      </c>
      <c r="L82" s="27">
        <f t="shared" si="24"/>
        <v>1.8313861386138616E-4</v>
      </c>
      <c r="M82" s="29">
        <f t="shared" si="25"/>
        <v>4.7762865441819992E-3</v>
      </c>
      <c r="N82" s="27">
        <f t="shared" si="26"/>
        <v>7.7165230902998991E-7</v>
      </c>
      <c r="O82" s="21">
        <f t="shared" si="27"/>
        <v>2.032E-3</v>
      </c>
      <c r="P82" s="21">
        <v>4.5724343480153871E-11</v>
      </c>
      <c r="Q82" s="2">
        <v>0.31</v>
      </c>
      <c r="R82" s="27">
        <f t="shared" si="28"/>
        <v>131000</v>
      </c>
      <c r="S82" s="2">
        <f t="shared" si="29"/>
        <v>5.1398579432804297E-3</v>
      </c>
      <c r="T82" s="11">
        <v>0.11</v>
      </c>
      <c r="U82" s="30">
        <f t="shared" si="30"/>
        <v>111000.00000000001</v>
      </c>
      <c r="V82" s="30">
        <f t="shared" si="18"/>
        <v>20.328386138613865</v>
      </c>
      <c r="W82" s="11">
        <f t="shared" si="31"/>
        <v>1505.525477588114</v>
      </c>
      <c r="X82" s="9">
        <f t="shared" si="32"/>
        <v>3.0628204521051153E-14</v>
      </c>
      <c r="Y82" s="9">
        <f t="shared" si="33"/>
        <v>18444304762.577007</v>
      </c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</row>
    <row r="83" spans="1:76" s="4" customForma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4"/>
      <c r="L83" s="3"/>
      <c r="M83" s="3"/>
      <c r="N83" s="2"/>
      <c r="O83" s="21"/>
      <c r="P83" s="21"/>
      <c r="Q83" s="2"/>
      <c r="R83" s="2"/>
      <c r="S83" s="2"/>
      <c r="T83" s="11"/>
      <c r="U83" s="2"/>
      <c r="V83" s="11"/>
      <c r="W83" s="5"/>
      <c r="X83" s="2"/>
      <c r="Y83" s="5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</row>
    <row r="84" spans="1:76" s="4" customForma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4"/>
      <c r="L84" s="3"/>
      <c r="M84" s="3"/>
      <c r="N84" s="2"/>
      <c r="O84" s="21"/>
      <c r="P84" s="21"/>
      <c r="Q84" s="2"/>
      <c r="R84" s="2"/>
      <c r="S84" s="2"/>
      <c r="T84" s="11"/>
      <c r="U84" s="2"/>
      <c r="V84" s="11"/>
      <c r="W84" s="5"/>
      <c r="X84" s="2"/>
      <c r="Y84" s="5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</row>
    <row r="85" spans="1:76" s="4" customForma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4"/>
      <c r="L85" s="3"/>
      <c r="M85" s="3"/>
      <c r="N85" s="2"/>
      <c r="O85" s="21"/>
      <c r="P85" s="21"/>
      <c r="Q85" s="2"/>
      <c r="R85" s="2"/>
      <c r="S85" s="2"/>
      <c r="T85" s="11"/>
      <c r="U85" s="2"/>
      <c r="V85" s="11"/>
      <c r="W85" s="5"/>
      <c r="X85" s="31"/>
      <c r="Y85" s="31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</row>
    <row r="86" spans="1:76" s="4" customForma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4"/>
      <c r="L86" s="3"/>
      <c r="M86" s="3"/>
      <c r="N86" s="2"/>
      <c r="O86" s="21"/>
      <c r="P86" s="21"/>
      <c r="Q86" s="2"/>
      <c r="R86" s="2"/>
      <c r="S86" s="2"/>
      <c r="T86" s="11"/>
      <c r="U86" s="2"/>
      <c r="V86" s="11"/>
      <c r="W86" s="5"/>
      <c r="X86" s="32">
        <f>AVERAGE(X55:X82)</f>
        <v>2.9924488038310796E-14</v>
      </c>
      <c r="Y86" s="32">
        <f>AVERAGE(Y55:Y82)</f>
        <v>18020526696.670765</v>
      </c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</row>
    <row r="87" spans="1:76" s="4" customForma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4"/>
      <c r="L87" s="3"/>
      <c r="M87" s="3"/>
      <c r="N87" s="2"/>
      <c r="O87" s="21"/>
      <c r="P87" s="21"/>
      <c r="Q87" s="2"/>
      <c r="R87" s="2"/>
      <c r="S87" s="2"/>
      <c r="T87" s="11"/>
      <c r="U87" s="2"/>
      <c r="V87" s="11"/>
      <c r="W87" s="5"/>
      <c r="X87" s="2"/>
      <c r="Y87" s="5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</row>
    <row r="88" spans="1:76" s="4" customForma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4"/>
      <c r="L88" s="3"/>
      <c r="M88" s="3"/>
      <c r="N88" s="2"/>
      <c r="O88" s="21"/>
      <c r="P88" s="21"/>
      <c r="Q88" s="2"/>
      <c r="R88" s="2"/>
      <c r="S88" s="2"/>
      <c r="T88" s="11"/>
      <c r="U88" s="2"/>
      <c r="V88" s="11"/>
      <c r="W88" s="5"/>
      <c r="X88" s="2"/>
      <c r="Y88" s="5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</row>
    <row r="89" spans="1:76" s="4" customForma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4"/>
      <c r="L89" s="3"/>
      <c r="M89" s="3"/>
      <c r="N89" s="2"/>
      <c r="O89" s="21"/>
      <c r="P89" s="21"/>
      <c r="Q89" s="2"/>
      <c r="R89" s="2"/>
      <c r="S89" s="2"/>
      <c r="T89" s="11"/>
      <c r="U89" s="2"/>
      <c r="V89" s="11"/>
      <c r="W89" s="5"/>
      <c r="X89" s="2"/>
      <c r="Y89" s="5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</row>
    <row r="90" spans="1:76" s="4" customForma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4"/>
      <c r="L90" s="3"/>
      <c r="M90" s="3"/>
      <c r="N90" s="2"/>
      <c r="O90" s="21"/>
      <c r="P90" s="21"/>
      <c r="Q90" s="2"/>
      <c r="R90" s="2"/>
      <c r="S90" s="2"/>
      <c r="T90" s="11"/>
      <c r="U90" s="2"/>
      <c r="V90" s="11"/>
      <c r="W90" s="5"/>
      <c r="X90" s="2"/>
      <c r="Y90" s="5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</row>
    <row r="91" spans="1:76" s="4" customForma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4"/>
      <c r="L91" s="3"/>
      <c r="M91" s="3"/>
      <c r="N91" s="2"/>
      <c r="O91" s="21"/>
      <c r="P91" s="21"/>
      <c r="Q91" s="2"/>
      <c r="R91" s="2"/>
      <c r="S91" s="2"/>
      <c r="T91" s="11"/>
      <c r="U91" s="2"/>
      <c r="V91" s="11"/>
      <c r="W91" s="5"/>
      <c r="X91" s="2"/>
      <c r="Y91" s="5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</row>
    <row r="92" spans="1:76" s="4" customForma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4"/>
      <c r="L92" s="3"/>
      <c r="M92" s="3"/>
      <c r="N92" s="2"/>
      <c r="O92" s="21"/>
      <c r="P92" s="21"/>
      <c r="Q92" s="2"/>
      <c r="R92" s="2"/>
      <c r="S92" s="2"/>
      <c r="T92" s="11"/>
      <c r="U92" s="2"/>
      <c r="V92" s="11"/>
      <c r="W92" s="5"/>
      <c r="X92" s="2"/>
      <c r="Y92" s="5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</row>
    <row r="93" spans="1:76" s="4" customForma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4"/>
      <c r="L93" s="3"/>
      <c r="M93" s="3"/>
      <c r="N93" s="2"/>
      <c r="O93" s="21"/>
      <c r="P93" s="21"/>
      <c r="Q93" s="2"/>
      <c r="R93" s="2"/>
      <c r="S93" s="2"/>
      <c r="T93" s="11"/>
      <c r="U93" s="2"/>
      <c r="V93" s="11"/>
      <c r="W93" s="5"/>
      <c r="X93" s="2"/>
      <c r="Y93" s="5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</row>
    <row r="94" spans="1:76" s="4" customForma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4"/>
      <c r="L94" s="3"/>
      <c r="M94" s="3"/>
      <c r="N94" s="2"/>
      <c r="O94" s="21"/>
      <c r="P94" s="21"/>
      <c r="Q94" s="2"/>
      <c r="R94" s="2"/>
      <c r="S94" s="2"/>
      <c r="T94" s="11"/>
      <c r="U94" s="2"/>
      <c r="V94" s="11"/>
      <c r="W94" s="5"/>
      <c r="X94" s="2"/>
      <c r="Y94" s="5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</row>
    <row r="95" spans="1:76" s="4" customForma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4"/>
      <c r="L95" s="3"/>
      <c r="M95" s="3"/>
      <c r="N95" s="2"/>
      <c r="O95" s="21"/>
      <c r="P95" s="21"/>
      <c r="Q95" s="2"/>
      <c r="R95" s="2"/>
      <c r="S95" s="2"/>
      <c r="T95" s="11"/>
      <c r="U95" s="2"/>
      <c r="V95" s="11"/>
      <c r="W95" s="5"/>
      <c r="X95" s="2"/>
      <c r="Y95" s="5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</row>
    <row r="96" spans="1:76" s="4" customForma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4"/>
      <c r="L96" s="3"/>
      <c r="M96" s="3"/>
      <c r="N96" s="2"/>
      <c r="O96" s="21"/>
      <c r="P96" s="21"/>
      <c r="Q96" s="2"/>
      <c r="R96" s="2"/>
      <c r="S96" s="2"/>
      <c r="T96" s="11"/>
      <c r="U96" s="2"/>
      <c r="V96" s="11"/>
      <c r="W96" s="5"/>
      <c r="X96" s="2"/>
      <c r="Y96" s="5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</row>
    <row r="97" spans="1:76" s="4" customForma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4"/>
      <c r="L97" s="3"/>
      <c r="M97" s="3"/>
      <c r="N97" s="2"/>
      <c r="O97" s="21"/>
      <c r="P97" s="21"/>
      <c r="Q97" s="2"/>
      <c r="R97" s="2"/>
      <c r="S97" s="2"/>
      <c r="T97" s="11"/>
      <c r="U97" s="2"/>
      <c r="V97" s="11"/>
      <c r="W97" s="5"/>
      <c r="X97" s="2"/>
      <c r="Y97" s="5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</row>
    <row r="98" spans="1:76" s="4" customForma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4"/>
      <c r="L98" s="3"/>
      <c r="M98" s="3"/>
      <c r="N98" s="2"/>
      <c r="O98" s="21"/>
      <c r="P98" s="21"/>
      <c r="Q98" s="2"/>
      <c r="R98" s="2"/>
      <c r="S98" s="2"/>
      <c r="T98" s="11"/>
      <c r="U98" s="2"/>
      <c r="V98" s="11"/>
      <c r="W98" s="5"/>
      <c r="X98" s="2"/>
      <c r="Y98" s="5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</row>
    <row r="99" spans="1:76" s="4" customForma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4"/>
      <c r="L99" s="3"/>
      <c r="M99" s="3"/>
      <c r="N99" s="2"/>
      <c r="O99" s="21"/>
      <c r="P99" s="21"/>
      <c r="Q99" s="2"/>
      <c r="R99" s="2"/>
      <c r="S99" s="2"/>
      <c r="T99" s="11"/>
      <c r="U99" s="2"/>
      <c r="V99" s="11"/>
      <c r="W99" s="5"/>
      <c r="X99" s="2"/>
      <c r="Y99" s="5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</row>
    <row r="100" spans="1:76" s="4" customForma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4"/>
      <c r="L100" s="3"/>
      <c r="M100" s="3"/>
      <c r="N100" s="2"/>
      <c r="O100" s="21"/>
      <c r="P100" s="21"/>
      <c r="Q100" s="2"/>
      <c r="R100" s="2"/>
      <c r="S100" s="2"/>
      <c r="T100" s="11"/>
      <c r="U100" s="2"/>
      <c r="V100" s="11"/>
      <c r="W100" s="5"/>
      <c r="X100" s="2"/>
      <c r="Y100" s="5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</row>
    <row r="101" spans="1:76" s="4" customForma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4"/>
      <c r="L101" s="3"/>
      <c r="M101" s="3"/>
      <c r="N101" s="2"/>
      <c r="O101" s="21"/>
      <c r="P101" s="21"/>
      <c r="Q101" s="2"/>
      <c r="R101" s="2"/>
      <c r="S101" s="2"/>
      <c r="T101" s="11"/>
      <c r="U101" s="2"/>
      <c r="V101" s="11"/>
      <c r="W101" s="5"/>
      <c r="X101" s="2"/>
      <c r="Y101" s="5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</row>
    <row r="102" spans="1:76" s="4" customForma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4"/>
      <c r="L102" s="3"/>
      <c r="M102" s="3"/>
      <c r="N102" s="2"/>
      <c r="O102" s="21"/>
      <c r="P102" s="21"/>
      <c r="Q102" s="2"/>
      <c r="R102" s="2"/>
      <c r="S102" s="2"/>
      <c r="T102" s="11"/>
      <c r="U102" s="2"/>
      <c r="V102" s="11"/>
      <c r="W102" s="5"/>
      <c r="X102" s="2"/>
      <c r="Y102" s="5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</row>
    <row r="103" spans="1:76" s="4" customForma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4"/>
      <c r="L103" s="3"/>
      <c r="M103" s="3"/>
      <c r="N103" s="2"/>
      <c r="O103" s="21"/>
      <c r="P103" s="21"/>
      <c r="Q103" s="2"/>
      <c r="R103" s="2"/>
      <c r="S103" s="2"/>
      <c r="T103" s="11"/>
      <c r="U103" s="2"/>
      <c r="V103" s="11"/>
      <c r="W103" s="5"/>
      <c r="X103" s="2"/>
      <c r="Y103" s="5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</row>
    <row r="104" spans="1:76" s="4" customForma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4"/>
      <c r="L104" s="3"/>
      <c r="M104" s="3"/>
      <c r="N104" s="2"/>
      <c r="O104" s="21"/>
      <c r="P104" s="21"/>
      <c r="Q104" s="2"/>
      <c r="R104" s="2"/>
      <c r="S104" s="2"/>
      <c r="T104" s="11"/>
      <c r="U104" s="2"/>
      <c r="V104" s="11"/>
      <c r="W104" s="5"/>
      <c r="X104" s="2"/>
      <c r="Y104" s="5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</row>
    <row r="105" spans="1:76" s="4" customForma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4"/>
      <c r="L105" s="3"/>
      <c r="M105" s="3"/>
      <c r="N105" s="2"/>
      <c r="O105" s="21"/>
      <c r="P105" s="21"/>
      <c r="Q105" s="2"/>
      <c r="R105" s="2"/>
      <c r="S105" s="2"/>
      <c r="T105" s="11"/>
      <c r="U105" s="2"/>
      <c r="V105" s="11"/>
      <c r="W105" s="5"/>
      <c r="X105" s="2"/>
      <c r="Y105" s="5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</row>
    <row r="106" spans="1:76" s="4" customForma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4"/>
      <c r="L106" s="3"/>
      <c r="M106" s="3"/>
      <c r="N106" s="2"/>
      <c r="O106" s="21"/>
      <c r="P106" s="21"/>
      <c r="Q106" s="2"/>
      <c r="R106" s="2"/>
      <c r="S106" s="2"/>
      <c r="T106" s="11"/>
      <c r="U106" s="2"/>
      <c r="V106" s="11"/>
      <c r="W106" s="5"/>
      <c r="X106" s="2"/>
      <c r="Y106" s="5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</row>
    <row r="107" spans="1:76" s="4" customForma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4"/>
      <c r="L107" s="3"/>
      <c r="M107" s="3"/>
      <c r="N107" s="2"/>
      <c r="O107" s="21"/>
      <c r="P107" s="21"/>
      <c r="Q107" s="2"/>
      <c r="R107" s="2"/>
      <c r="S107" s="2"/>
      <c r="T107" s="11"/>
      <c r="U107" s="2"/>
      <c r="V107" s="11"/>
      <c r="W107" s="5"/>
      <c r="X107" s="2"/>
      <c r="Y107" s="5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</row>
    <row r="108" spans="1:76" s="4" customForma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4"/>
      <c r="L108" s="3"/>
      <c r="M108" s="3"/>
      <c r="N108" s="2"/>
      <c r="O108" s="21"/>
      <c r="P108" s="21"/>
      <c r="Q108" s="2"/>
      <c r="R108" s="2"/>
      <c r="S108" s="2"/>
      <c r="T108" s="11"/>
      <c r="U108" s="2"/>
      <c r="V108" s="11"/>
      <c r="W108" s="5"/>
      <c r="X108" s="2"/>
      <c r="Y108" s="5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</row>
    <row r="109" spans="1:76" s="4" customForma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4"/>
      <c r="L109" s="3"/>
      <c r="M109" s="3"/>
      <c r="N109" s="2"/>
      <c r="O109" s="21"/>
      <c r="P109" s="21"/>
      <c r="Q109" s="2"/>
      <c r="R109" s="2"/>
      <c r="S109" s="2"/>
      <c r="T109" s="11"/>
      <c r="U109" s="2"/>
      <c r="V109" s="11"/>
      <c r="W109" s="5"/>
      <c r="X109" s="2"/>
      <c r="Y109" s="5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</row>
    <row r="110" spans="1:76" s="4" customForma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4"/>
      <c r="L110" s="3"/>
      <c r="M110" s="3"/>
      <c r="N110" s="2"/>
      <c r="O110" s="21"/>
      <c r="P110" s="21"/>
      <c r="Q110" s="2"/>
      <c r="R110" s="2"/>
      <c r="S110" s="2"/>
      <c r="T110" s="11"/>
      <c r="U110" s="2"/>
      <c r="V110" s="11"/>
      <c r="W110" s="5"/>
      <c r="X110" s="2"/>
      <c r="Y110" s="5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</row>
    <row r="111" spans="1:76" s="4" customForma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4"/>
      <c r="L111" s="3"/>
      <c r="M111" s="3"/>
      <c r="N111" s="2"/>
      <c r="O111" s="21"/>
      <c r="P111" s="21"/>
      <c r="Q111" s="2"/>
      <c r="R111" s="2"/>
      <c r="S111" s="2"/>
      <c r="T111" s="11"/>
      <c r="U111" s="2"/>
      <c r="V111" s="11"/>
      <c r="W111" s="5"/>
      <c r="X111" s="2"/>
      <c r="Y111" s="5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</row>
    <row r="112" spans="1:76" s="4" customForma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4"/>
      <c r="L112" s="3"/>
      <c r="M112" s="3"/>
      <c r="N112" s="2"/>
      <c r="O112" s="21"/>
      <c r="P112" s="21"/>
      <c r="Q112" s="2"/>
      <c r="R112" s="2"/>
      <c r="S112" s="2"/>
      <c r="T112" s="11"/>
      <c r="U112" s="2"/>
      <c r="V112" s="11"/>
      <c r="W112" s="5"/>
      <c r="X112" s="2"/>
      <c r="Y112" s="5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</row>
    <row r="113" spans="1:76" s="4" customForma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4"/>
      <c r="L113" s="3"/>
      <c r="M113" s="3"/>
      <c r="N113" s="2"/>
      <c r="O113" s="21"/>
      <c r="P113" s="21"/>
      <c r="Q113" s="2"/>
      <c r="R113" s="2"/>
      <c r="S113" s="2"/>
      <c r="T113" s="11"/>
      <c r="U113" s="2"/>
      <c r="V113" s="11"/>
      <c r="W113" s="5"/>
      <c r="X113" s="2"/>
      <c r="Y113" s="5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</row>
    <row r="114" spans="1:76" s="4" customForma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4"/>
      <c r="L114" s="3"/>
      <c r="M114" s="3"/>
      <c r="N114" s="2"/>
      <c r="O114" s="21"/>
      <c r="P114" s="21"/>
      <c r="Q114" s="2"/>
      <c r="R114" s="2"/>
      <c r="S114" s="2"/>
      <c r="T114" s="11"/>
      <c r="U114" s="2"/>
      <c r="V114" s="11"/>
      <c r="W114" s="5"/>
      <c r="X114" s="2"/>
      <c r="Y114" s="5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</row>
    <row r="115" spans="1:76" s="4" customForma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4"/>
      <c r="L115" s="3"/>
      <c r="M115" s="3"/>
      <c r="N115" s="2"/>
      <c r="O115" s="21"/>
      <c r="P115" s="21"/>
      <c r="Q115" s="2"/>
      <c r="R115" s="2"/>
      <c r="S115" s="2"/>
      <c r="T115" s="11"/>
      <c r="U115" s="2"/>
      <c r="V115" s="11"/>
      <c r="W115" s="5"/>
      <c r="X115" s="2"/>
      <c r="Y115" s="5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</row>
    <row r="116" spans="1:76" s="4" customForma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4"/>
      <c r="L116" s="3"/>
      <c r="M116" s="3"/>
      <c r="N116" s="2"/>
      <c r="O116" s="21"/>
      <c r="P116" s="21"/>
      <c r="Q116" s="2"/>
      <c r="R116" s="2"/>
      <c r="S116" s="2"/>
      <c r="T116" s="11"/>
      <c r="U116" s="2"/>
      <c r="V116" s="11"/>
      <c r="W116" s="5"/>
      <c r="X116" s="2"/>
      <c r="Y116" s="5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</row>
    <row r="117" spans="1:76" s="4" customForma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4"/>
      <c r="L117" s="3"/>
      <c r="M117" s="3"/>
      <c r="N117" s="2"/>
      <c r="O117" s="21"/>
      <c r="P117" s="21"/>
      <c r="Q117" s="2"/>
      <c r="R117" s="2"/>
      <c r="S117" s="2"/>
      <c r="T117" s="11"/>
      <c r="U117" s="2"/>
      <c r="V117" s="11"/>
      <c r="W117" s="5"/>
      <c r="X117" s="2"/>
      <c r="Y117" s="5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</row>
    <row r="118" spans="1:76" s="4" customForma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4"/>
      <c r="L118" s="3"/>
      <c r="M118" s="3"/>
      <c r="N118" s="2"/>
      <c r="O118" s="21"/>
      <c r="P118" s="21"/>
      <c r="Q118" s="2"/>
      <c r="R118" s="2"/>
      <c r="S118" s="2"/>
      <c r="T118" s="11"/>
      <c r="U118" s="2"/>
      <c r="V118" s="11"/>
      <c r="W118" s="5"/>
      <c r="X118" s="2"/>
      <c r="Y118" s="5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</row>
    <row r="119" spans="1:76" s="4" customForma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4"/>
      <c r="L119" s="3"/>
      <c r="M119" s="3"/>
      <c r="N119" s="2"/>
      <c r="O119" s="21"/>
      <c r="P119" s="21"/>
      <c r="Q119" s="2"/>
      <c r="R119" s="2"/>
      <c r="S119" s="2"/>
      <c r="T119" s="11"/>
      <c r="U119" s="2"/>
      <c r="V119" s="11"/>
      <c r="W119" s="5"/>
      <c r="X119" s="2"/>
      <c r="Y119" s="5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</row>
    <row r="120" spans="1:76" s="4" customForma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4"/>
      <c r="L120" s="3"/>
      <c r="M120" s="3"/>
      <c r="N120" s="2"/>
      <c r="O120" s="21"/>
      <c r="P120" s="21"/>
      <c r="Q120" s="2"/>
      <c r="R120" s="2"/>
      <c r="S120" s="2"/>
      <c r="T120" s="11"/>
      <c r="U120" s="2"/>
      <c r="V120" s="11"/>
      <c r="W120" s="5"/>
      <c r="X120" s="2"/>
      <c r="Y120" s="5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</row>
    <row r="121" spans="1:76" s="4" customForma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4"/>
      <c r="L121" s="3"/>
      <c r="M121" s="3"/>
      <c r="N121" s="2"/>
      <c r="O121" s="21"/>
      <c r="P121" s="21"/>
      <c r="Q121" s="2"/>
      <c r="R121" s="2"/>
      <c r="S121" s="2"/>
      <c r="T121" s="11"/>
      <c r="U121" s="2"/>
      <c r="V121" s="11"/>
      <c r="W121" s="5"/>
      <c r="X121" s="2"/>
      <c r="Y121" s="5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</row>
    <row r="122" spans="1:76" s="4" customForma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4"/>
      <c r="L122" s="3"/>
      <c r="M122" s="3"/>
      <c r="N122" s="2"/>
      <c r="O122" s="21"/>
      <c r="P122" s="21"/>
      <c r="Q122" s="2"/>
      <c r="R122" s="2"/>
      <c r="S122" s="2"/>
      <c r="T122" s="11"/>
      <c r="U122" s="2"/>
      <c r="V122" s="11"/>
      <c r="W122" s="5"/>
      <c r="X122" s="2"/>
      <c r="Y122" s="5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</row>
    <row r="123" spans="1:76" s="4" customForma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4"/>
      <c r="L123" s="3"/>
      <c r="M123" s="3"/>
      <c r="N123" s="27"/>
      <c r="O123" s="21"/>
      <c r="P123" s="21"/>
      <c r="Q123" s="2"/>
      <c r="R123" s="2"/>
      <c r="S123" s="2"/>
      <c r="T123" s="11"/>
      <c r="U123" s="2"/>
      <c r="V123" s="11"/>
      <c r="W123" s="5"/>
      <c r="X123" s="2"/>
      <c r="Y123" s="5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</row>
    <row r="124" spans="1:76" s="4" customForma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4"/>
      <c r="L124" s="3"/>
      <c r="M124" s="3"/>
      <c r="N124" s="2"/>
      <c r="O124" s="21"/>
      <c r="P124" s="21"/>
      <c r="Q124" s="2"/>
      <c r="R124" s="2"/>
      <c r="S124" s="2"/>
      <c r="T124" s="11"/>
      <c r="U124" s="2"/>
      <c r="V124" s="11"/>
      <c r="W124" s="5"/>
      <c r="X124" s="2"/>
      <c r="Y124" s="5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</row>
    <row r="125" spans="1:76" s="4" customForma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4"/>
      <c r="L125" s="3"/>
      <c r="M125" s="3"/>
      <c r="N125" s="2"/>
      <c r="O125" s="21"/>
      <c r="P125" s="21"/>
      <c r="Q125" s="2"/>
      <c r="R125" s="2"/>
      <c r="S125" s="2"/>
      <c r="T125" s="11"/>
      <c r="U125" s="2"/>
      <c r="V125" s="11"/>
      <c r="W125" s="5"/>
      <c r="X125" s="2"/>
      <c r="Y125" s="5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</row>
    <row r="126" spans="1:76" s="4" customForma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4"/>
      <c r="L126" s="3"/>
      <c r="M126" s="3"/>
      <c r="N126" s="2"/>
      <c r="O126" s="21"/>
      <c r="P126" s="21"/>
      <c r="Q126" s="2"/>
      <c r="R126" s="2"/>
      <c r="S126" s="2"/>
      <c r="T126" s="11"/>
      <c r="U126" s="2"/>
      <c r="V126" s="11"/>
      <c r="W126" s="5"/>
      <c r="X126" s="2"/>
      <c r="Y126" s="5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</row>
    <row r="127" spans="1:76" s="4" customForma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4"/>
      <c r="L127" s="3"/>
      <c r="M127" s="3"/>
      <c r="N127" s="2"/>
      <c r="O127" s="21"/>
      <c r="P127" s="21"/>
      <c r="Q127" s="2"/>
      <c r="R127" s="2"/>
      <c r="S127" s="2"/>
      <c r="T127" s="11"/>
      <c r="U127" s="2"/>
      <c r="V127" s="11"/>
      <c r="W127" s="5"/>
      <c r="X127" s="2"/>
      <c r="Y127" s="5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</row>
    <row r="128" spans="1:76" s="4" customForma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4"/>
      <c r="L128" s="3"/>
      <c r="M128" s="3"/>
      <c r="N128" s="2"/>
      <c r="O128" s="21"/>
      <c r="P128" s="21"/>
      <c r="Q128" s="2"/>
      <c r="R128" s="2"/>
      <c r="S128" s="2"/>
      <c r="T128" s="11"/>
      <c r="U128" s="2"/>
      <c r="V128" s="11"/>
      <c r="W128" s="5"/>
      <c r="X128" s="2"/>
      <c r="Y128" s="5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</row>
    <row r="129" spans="1:76" s="4" customForma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4"/>
      <c r="L129" s="3"/>
      <c r="M129" s="3"/>
      <c r="N129" s="2"/>
      <c r="O129" s="21"/>
      <c r="P129" s="21"/>
      <c r="Q129" s="2"/>
      <c r="R129" s="2"/>
      <c r="S129" s="2"/>
      <c r="T129" s="11"/>
      <c r="U129" s="2"/>
      <c r="V129" s="11"/>
      <c r="W129" s="5"/>
      <c r="X129" s="2"/>
      <c r="Y129" s="5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</row>
    <row r="130" spans="1:76" s="4" customForma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4"/>
      <c r="L130" s="3"/>
      <c r="M130" s="3"/>
      <c r="N130" s="2"/>
      <c r="O130" s="21"/>
      <c r="P130" s="21"/>
      <c r="Q130" s="2"/>
      <c r="R130" s="2"/>
      <c r="S130" s="2"/>
      <c r="T130" s="11"/>
      <c r="U130" s="2"/>
      <c r="V130" s="11"/>
      <c r="W130" s="5"/>
      <c r="X130" s="2"/>
      <c r="Y130" s="5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</row>
    <row r="131" spans="1:76" s="4" customForma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4"/>
      <c r="L131" s="3"/>
      <c r="M131" s="3"/>
      <c r="N131" s="2"/>
      <c r="O131" s="21"/>
      <c r="P131" s="21"/>
      <c r="Q131" s="2"/>
      <c r="R131" s="2"/>
      <c r="S131" s="2"/>
      <c r="T131" s="11"/>
      <c r="U131" s="2"/>
      <c r="V131" s="11"/>
      <c r="W131" s="5"/>
      <c r="X131" s="2"/>
      <c r="Y131" s="5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</row>
    <row r="132" spans="1:76" s="4" customForma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4"/>
      <c r="L132" s="3"/>
      <c r="M132" s="3"/>
      <c r="N132" s="2"/>
      <c r="O132" s="21"/>
      <c r="P132" s="21"/>
      <c r="Q132" s="2"/>
      <c r="R132" s="2"/>
      <c r="S132" s="2"/>
      <c r="T132" s="11"/>
      <c r="U132" s="2"/>
      <c r="V132" s="11"/>
      <c r="W132" s="5"/>
      <c r="X132" s="2"/>
      <c r="Y132" s="5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</row>
    <row r="133" spans="1:76" s="4" customForma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4"/>
      <c r="L133" s="3"/>
      <c r="M133" s="3"/>
      <c r="N133" s="2"/>
      <c r="O133" s="21"/>
      <c r="P133" s="21"/>
      <c r="Q133" s="2"/>
      <c r="R133" s="2"/>
      <c r="S133" s="2"/>
      <c r="T133" s="11"/>
      <c r="U133" s="2"/>
      <c r="V133" s="11"/>
      <c r="W133" s="5"/>
      <c r="X133" s="2"/>
      <c r="Y133" s="5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</row>
    <row r="134" spans="1:76" s="4" customForma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4"/>
      <c r="L134" s="3"/>
      <c r="M134" s="3"/>
      <c r="N134" s="2"/>
      <c r="O134" s="21"/>
      <c r="P134" s="21"/>
      <c r="Q134" s="2"/>
      <c r="R134" s="2"/>
      <c r="S134" s="2"/>
      <c r="T134" s="11"/>
      <c r="U134" s="2"/>
      <c r="V134" s="11"/>
      <c r="W134" s="5"/>
      <c r="X134" s="2"/>
      <c r="Y134" s="5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</row>
    <row r="135" spans="1:76" s="4" customForma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4"/>
      <c r="L135" s="3"/>
      <c r="M135" s="3"/>
      <c r="N135" s="2"/>
      <c r="O135" s="21"/>
      <c r="P135" s="21"/>
      <c r="Q135" s="2"/>
      <c r="R135" s="2"/>
      <c r="S135" s="2"/>
      <c r="T135" s="11"/>
      <c r="U135" s="2"/>
      <c r="V135" s="11"/>
      <c r="W135" s="5"/>
      <c r="X135" s="2"/>
      <c r="Y135" s="5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</row>
    <row r="136" spans="1:76" s="4" customForma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4"/>
      <c r="L136" s="3"/>
      <c r="M136" s="3"/>
      <c r="N136" s="2"/>
      <c r="O136" s="21"/>
      <c r="P136" s="21"/>
      <c r="Q136" s="2"/>
      <c r="R136" s="2"/>
      <c r="S136" s="2"/>
      <c r="T136" s="11"/>
      <c r="U136" s="2"/>
      <c r="V136" s="11"/>
      <c r="W136" s="5"/>
      <c r="X136" s="2"/>
      <c r="Y136" s="5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</row>
    <row r="137" spans="1:76" s="4" customForma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4"/>
      <c r="L137" s="3"/>
      <c r="M137" s="3"/>
      <c r="N137" s="2"/>
      <c r="O137" s="21"/>
      <c r="P137" s="21"/>
      <c r="Q137" s="2"/>
      <c r="R137" s="2"/>
      <c r="S137" s="2"/>
      <c r="T137" s="11"/>
      <c r="U137" s="2"/>
      <c r="V137" s="11"/>
      <c r="W137" s="5"/>
      <c r="X137" s="2"/>
      <c r="Y137" s="5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</row>
    <row r="138" spans="1:76" s="4" customForma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4"/>
      <c r="L138" s="3"/>
      <c r="M138" s="3"/>
      <c r="N138" s="2"/>
      <c r="O138" s="21"/>
      <c r="P138" s="21"/>
      <c r="Q138" s="2"/>
      <c r="R138" s="2"/>
      <c r="S138" s="2"/>
      <c r="T138" s="11"/>
      <c r="U138" s="2"/>
      <c r="V138" s="11"/>
      <c r="W138" s="5"/>
      <c r="X138" s="2"/>
      <c r="Y138" s="5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1:76" s="4" customForma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4"/>
      <c r="L139" s="3"/>
      <c r="M139" s="3"/>
      <c r="N139" s="2"/>
      <c r="O139" s="21"/>
      <c r="P139" s="21"/>
      <c r="Q139" s="2"/>
      <c r="R139" s="2"/>
      <c r="S139" s="2"/>
      <c r="T139" s="11"/>
      <c r="U139" s="2"/>
      <c r="V139" s="11"/>
      <c r="W139" s="5"/>
      <c r="X139" s="2"/>
      <c r="Y139" s="5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1:76" s="4" customForma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4"/>
      <c r="L140" s="3"/>
      <c r="M140" s="3"/>
      <c r="N140" s="2"/>
      <c r="O140" s="21"/>
      <c r="P140" s="21"/>
      <c r="Q140" s="2"/>
      <c r="R140" s="2"/>
      <c r="S140" s="2"/>
      <c r="T140" s="11"/>
      <c r="U140" s="2"/>
      <c r="V140" s="11"/>
      <c r="W140" s="5"/>
      <c r="X140" s="2"/>
      <c r="Y140" s="5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1:76" s="4" customForma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4"/>
      <c r="L141" s="3"/>
      <c r="M141" s="3"/>
      <c r="N141" s="2"/>
      <c r="O141" s="21"/>
      <c r="P141" s="21"/>
      <c r="Q141" s="2"/>
      <c r="R141" s="2"/>
      <c r="S141" s="2"/>
      <c r="T141" s="11"/>
      <c r="U141" s="2"/>
      <c r="V141" s="11"/>
      <c r="W141" s="5"/>
      <c r="X141" s="2"/>
      <c r="Y141" s="5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</row>
    <row r="142" spans="1:76" s="4" customForma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4"/>
      <c r="L142" s="3"/>
      <c r="M142" s="3"/>
      <c r="N142" s="2"/>
      <c r="O142" s="21"/>
      <c r="P142" s="21"/>
      <c r="Q142" s="2"/>
      <c r="R142" s="2"/>
      <c r="S142" s="2"/>
      <c r="T142" s="11"/>
      <c r="U142" s="2"/>
      <c r="V142" s="11"/>
      <c r="W142" s="5"/>
      <c r="X142" s="2"/>
      <c r="Y142" s="5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</row>
    <row r="143" spans="1:76" s="4" customForma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4"/>
      <c r="L143" s="3"/>
      <c r="M143" s="3"/>
      <c r="N143" s="2"/>
      <c r="O143" s="21"/>
      <c r="P143" s="21"/>
      <c r="Q143" s="2"/>
      <c r="R143" s="2"/>
      <c r="S143" s="2"/>
      <c r="T143" s="11"/>
      <c r="U143" s="2"/>
      <c r="V143" s="11"/>
      <c r="W143" s="5"/>
      <c r="X143" s="2"/>
      <c r="Y143" s="5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</row>
    <row r="144" spans="1:76" s="4" customForma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4"/>
      <c r="L144" s="3"/>
      <c r="M144" s="3"/>
      <c r="N144" s="2"/>
      <c r="O144" s="21"/>
      <c r="P144" s="21"/>
      <c r="Q144" s="2"/>
      <c r="R144" s="2"/>
      <c r="S144" s="2"/>
      <c r="T144" s="11"/>
      <c r="U144" s="2"/>
      <c r="V144" s="11"/>
      <c r="W144" s="5"/>
      <c r="X144" s="2"/>
      <c r="Y144" s="5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</row>
    <row r="145" spans="1:76" s="4" customForma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4"/>
      <c r="L145" s="3"/>
      <c r="M145" s="3"/>
      <c r="N145" s="2"/>
      <c r="O145" s="21"/>
      <c r="P145" s="21"/>
      <c r="Q145" s="2"/>
      <c r="R145" s="2"/>
      <c r="S145" s="2"/>
      <c r="T145" s="11"/>
      <c r="U145" s="2"/>
      <c r="V145" s="11"/>
      <c r="W145" s="5"/>
      <c r="X145" s="2"/>
      <c r="Y145" s="5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</row>
    <row r="146" spans="1:76" s="4" customForma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4"/>
      <c r="L146" s="3"/>
      <c r="M146" s="3"/>
      <c r="N146" s="2"/>
      <c r="O146" s="21"/>
      <c r="P146" s="21"/>
      <c r="Q146" s="2"/>
      <c r="R146" s="2"/>
      <c r="S146" s="2"/>
      <c r="T146" s="11"/>
      <c r="U146" s="2"/>
      <c r="V146" s="11"/>
      <c r="W146" s="5"/>
      <c r="X146" s="2"/>
      <c r="Y146" s="5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</row>
    <row r="147" spans="1:76" s="4" customForma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4"/>
      <c r="L147" s="3"/>
      <c r="M147" s="3"/>
      <c r="N147" s="2"/>
      <c r="O147" s="21"/>
      <c r="P147" s="21"/>
      <c r="Q147" s="2"/>
      <c r="R147" s="2"/>
      <c r="S147" s="2"/>
      <c r="T147" s="11"/>
      <c r="U147" s="2"/>
      <c r="V147" s="11"/>
      <c r="W147" s="5"/>
      <c r="X147" s="2"/>
      <c r="Y147" s="5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</row>
    <row r="148" spans="1:76" s="4" customForma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4"/>
      <c r="L148" s="3"/>
      <c r="M148" s="3"/>
      <c r="N148" s="2"/>
      <c r="O148" s="21"/>
      <c r="P148" s="21"/>
      <c r="Q148" s="2"/>
      <c r="R148" s="2"/>
      <c r="S148" s="2"/>
      <c r="T148" s="11"/>
      <c r="U148" s="2"/>
      <c r="V148" s="11"/>
      <c r="W148" s="5"/>
      <c r="X148" s="2"/>
      <c r="Y148" s="5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</row>
    <row r="149" spans="1:76" s="4" customForma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4"/>
      <c r="L149" s="3"/>
      <c r="M149" s="3"/>
      <c r="N149" s="2"/>
      <c r="O149" s="21"/>
      <c r="P149" s="21"/>
      <c r="Q149" s="2"/>
      <c r="R149" s="2"/>
      <c r="S149" s="2"/>
      <c r="T149" s="11"/>
      <c r="U149" s="2"/>
      <c r="V149" s="11"/>
      <c r="W149" s="5"/>
      <c r="X149" s="2"/>
      <c r="Y149" s="5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</row>
    <row r="150" spans="1:76" s="4" customForma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4"/>
      <c r="L150" s="3"/>
      <c r="M150" s="3"/>
      <c r="N150" s="2"/>
      <c r="O150" s="21"/>
      <c r="P150" s="21"/>
      <c r="Q150" s="2"/>
      <c r="R150" s="2"/>
      <c r="S150" s="2"/>
      <c r="T150" s="11"/>
      <c r="U150" s="2"/>
      <c r="V150" s="11"/>
      <c r="W150" s="5"/>
      <c r="X150" s="2"/>
      <c r="Y150" s="5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</row>
    <row r="151" spans="1:76" s="4" customForma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4"/>
      <c r="L151" s="3"/>
      <c r="M151" s="3"/>
      <c r="N151" s="2"/>
      <c r="O151" s="21"/>
      <c r="P151" s="21"/>
      <c r="Q151" s="2"/>
      <c r="R151" s="2"/>
      <c r="S151" s="2"/>
      <c r="T151" s="11"/>
      <c r="U151" s="2"/>
      <c r="V151" s="11"/>
      <c r="W151" s="5"/>
      <c r="X151" s="2"/>
      <c r="Y151" s="5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</row>
    <row r="152" spans="1:76" s="4" customForma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4"/>
      <c r="L152" s="3"/>
      <c r="M152" s="3"/>
      <c r="N152" s="2"/>
      <c r="O152" s="21"/>
      <c r="P152" s="21"/>
      <c r="Q152" s="2"/>
      <c r="R152" s="2"/>
      <c r="S152" s="2"/>
      <c r="T152" s="11"/>
      <c r="U152" s="2"/>
      <c r="V152" s="11"/>
      <c r="W152" s="5"/>
      <c r="X152" s="2"/>
      <c r="Y152" s="5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</row>
    <row r="153" spans="1:76" s="4" customForma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4"/>
      <c r="L153" s="3"/>
      <c r="M153" s="3"/>
      <c r="N153" s="2"/>
      <c r="O153" s="21"/>
      <c r="P153" s="21"/>
      <c r="Q153" s="2"/>
      <c r="R153" s="2"/>
      <c r="S153" s="2"/>
      <c r="T153" s="11"/>
      <c r="U153" s="2"/>
      <c r="V153" s="11"/>
      <c r="W153" s="5"/>
      <c r="X153" s="2"/>
      <c r="Y153" s="5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</row>
    <row r="154" spans="1:76" s="4" customForma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4"/>
      <c r="L154" s="3"/>
      <c r="M154" s="3"/>
      <c r="N154" s="2"/>
      <c r="O154" s="21"/>
      <c r="P154" s="21"/>
      <c r="Q154" s="2"/>
      <c r="R154" s="2"/>
      <c r="S154" s="2"/>
      <c r="T154" s="11"/>
      <c r="U154" s="2"/>
      <c r="V154" s="11"/>
      <c r="W154" s="5"/>
      <c r="X154" s="2"/>
      <c r="Y154" s="5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</row>
    <row r="155" spans="1:76" s="4" customForma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4"/>
      <c r="L155" s="3"/>
      <c r="M155" s="3"/>
      <c r="N155" s="2"/>
      <c r="O155" s="21"/>
      <c r="P155" s="21"/>
      <c r="Q155" s="2"/>
      <c r="R155" s="2"/>
      <c r="S155" s="2"/>
      <c r="T155" s="11"/>
      <c r="U155" s="2"/>
      <c r="V155" s="11"/>
      <c r="W155" s="5"/>
      <c r="X155" s="2"/>
      <c r="Y155" s="5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</row>
    <row r="156" spans="1:76" s="4" customForma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4"/>
      <c r="L156" s="3"/>
      <c r="M156" s="3"/>
      <c r="N156" s="2"/>
      <c r="O156" s="21"/>
      <c r="P156" s="21"/>
      <c r="Q156" s="2"/>
      <c r="R156" s="2"/>
      <c r="S156" s="2"/>
      <c r="T156" s="11"/>
      <c r="U156" s="2"/>
      <c r="V156" s="11"/>
      <c r="W156" s="5"/>
      <c r="X156" s="2"/>
      <c r="Y156" s="5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</row>
    <row r="157" spans="1:76" s="4" customForma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4"/>
      <c r="L157" s="3"/>
      <c r="M157" s="3"/>
      <c r="N157" s="2"/>
      <c r="O157" s="21"/>
      <c r="P157" s="21"/>
      <c r="Q157" s="2"/>
      <c r="R157" s="2"/>
      <c r="S157" s="2"/>
      <c r="T157" s="11"/>
      <c r="U157" s="2"/>
      <c r="V157" s="11"/>
      <c r="W157" s="5"/>
      <c r="X157" s="2"/>
      <c r="Y157" s="5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</row>
    <row r="158" spans="1:76" s="4" customForma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4"/>
      <c r="L158" s="3"/>
      <c r="M158" s="3"/>
      <c r="N158" s="2"/>
      <c r="O158" s="21"/>
      <c r="P158" s="21"/>
      <c r="Q158" s="2"/>
      <c r="R158" s="2"/>
      <c r="S158" s="2"/>
      <c r="T158" s="11"/>
      <c r="U158" s="2"/>
      <c r="V158" s="11"/>
      <c r="W158" s="5"/>
      <c r="X158" s="2"/>
      <c r="Y158" s="5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</row>
    <row r="159" spans="1:76" s="4" customForma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4"/>
      <c r="L159" s="3"/>
      <c r="M159" s="3"/>
      <c r="N159" s="2"/>
      <c r="O159" s="21"/>
      <c r="P159" s="21"/>
      <c r="Q159" s="2"/>
      <c r="R159" s="2"/>
      <c r="S159" s="2"/>
      <c r="T159" s="11"/>
      <c r="U159" s="2"/>
      <c r="V159" s="11"/>
      <c r="W159" s="5"/>
      <c r="X159" s="2"/>
      <c r="Y159" s="5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</row>
    <row r="160" spans="1:76" s="4" customForma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4"/>
      <c r="L160" s="3"/>
      <c r="M160" s="3"/>
      <c r="N160" s="2"/>
      <c r="O160" s="21"/>
      <c r="P160" s="21"/>
      <c r="Q160" s="2"/>
      <c r="R160" s="2"/>
      <c r="S160" s="2"/>
      <c r="T160" s="11"/>
      <c r="U160" s="2"/>
      <c r="V160" s="11"/>
      <c r="W160" s="5"/>
      <c r="X160" s="2"/>
      <c r="Y160" s="5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</row>
    <row r="161" spans="1:76" s="4" customForma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4"/>
      <c r="L161" s="3"/>
      <c r="M161" s="3"/>
      <c r="N161" s="2"/>
      <c r="O161" s="21"/>
      <c r="P161" s="21"/>
      <c r="Q161" s="2"/>
      <c r="R161" s="2"/>
      <c r="S161" s="2"/>
      <c r="T161" s="11"/>
      <c r="U161" s="2"/>
      <c r="V161" s="11"/>
      <c r="W161" s="5"/>
      <c r="X161" s="2"/>
      <c r="Y161" s="5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</row>
    <row r="162" spans="1:76" s="4" customForma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4"/>
      <c r="L162" s="3"/>
      <c r="M162" s="3"/>
      <c r="N162" s="2"/>
      <c r="O162" s="21"/>
      <c r="P162" s="21"/>
      <c r="Q162" s="2"/>
      <c r="R162" s="2"/>
      <c r="S162" s="2"/>
      <c r="T162" s="11"/>
      <c r="U162" s="2"/>
      <c r="V162" s="11"/>
      <c r="W162" s="5"/>
      <c r="X162" s="2"/>
      <c r="Y162" s="5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</row>
    <row r="163" spans="1:76" s="4" customForma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4"/>
      <c r="L163" s="3"/>
      <c r="M163" s="3"/>
      <c r="N163" s="2"/>
      <c r="O163" s="21"/>
      <c r="P163" s="21"/>
      <c r="Q163" s="2"/>
      <c r="R163" s="2"/>
      <c r="S163" s="2"/>
      <c r="T163" s="11"/>
      <c r="U163" s="2"/>
      <c r="V163" s="11"/>
      <c r="W163" s="5"/>
      <c r="X163" s="2"/>
      <c r="Y163" s="5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</row>
    <row r="164" spans="1:76" s="4" customForma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4"/>
      <c r="L164" s="3"/>
      <c r="M164" s="3"/>
      <c r="N164" s="8"/>
      <c r="O164" s="23"/>
      <c r="P164" s="23"/>
      <c r="Q164" s="8"/>
      <c r="R164" s="8"/>
      <c r="S164" s="8"/>
      <c r="T164" s="13"/>
      <c r="U164" s="8"/>
      <c r="V164" s="13"/>
      <c r="W164" s="19"/>
      <c r="X164" s="8"/>
      <c r="Y164" s="19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</row>
    <row r="165" spans="1:76" s="4" customForma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4"/>
      <c r="L165" s="3"/>
      <c r="M165" s="3"/>
      <c r="N165" s="8"/>
      <c r="O165" s="23"/>
      <c r="P165" s="23"/>
      <c r="Q165" s="8"/>
      <c r="R165" s="8"/>
      <c r="S165" s="8"/>
      <c r="T165" s="13"/>
      <c r="U165" s="8"/>
      <c r="V165" s="13"/>
      <c r="W165" s="19"/>
      <c r="X165" s="8"/>
      <c r="Y165" s="19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</row>
    <row r="166" spans="1:76" s="4" customForma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4"/>
      <c r="L166" s="3"/>
      <c r="M166" s="3"/>
      <c r="N166" s="8"/>
      <c r="O166" s="23"/>
      <c r="P166" s="23"/>
      <c r="Q166" s="8"/>
      <c r="R166" s="8"/>
      <c r="S166" s="8"/>
      <c r="T166" s="13"/>
      <c r="U166" s="8"/>
      <c r="V166" s="13"/>
      <c r="W166" s="19"/>
      <c r="X166" s="8"/>
      <c r="Y166" s="19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</row>
    <row r="167" spans="1:76" s="4" customForma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4"/>
      <c r="L167" s="3"/>
      <c r="M167" s="3"/>
      <c r="N167" s="8"/>
      <c r="O167" s="23"/>
      <c r="P167" s="23"/>
      <c r="Q167" s="8"/>
      <c r="R167" s="8"/>
      <c r="S167" s="8"/>
      <c r="T167" s="13"/>
      <c r="U167" s="8"/>
      <c r="V167" s="13"/>
      <c r="W167" s="19"/>
      <c r="X167" s="8"/>
      <c r="Y167" s="19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</row>
    <row r="168" spans="1:76" s="4" customForma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4"/>
      <c r="L168" s="3"/>
      <c r="M168" s="3"/>
      <c r="N168" s="8"/>
      <c r="O168" s="23"/>
      <c r="P168" s="23"/>
      <c r="Q168" s="8"/>
      <c r="R168" s="8"/>
      <c r="S168" s="8"/>
      <c r="T168" s="13"/>
      <c r="U168" s="8"/>
      <c r="V168" s="13"/>
      <c r="W168" s="19"/>
      <c r="X168" s="8"/>
      <c r="Y168" s="19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</row>
    <row r="169" spans="1:76" s="4" customForma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4"/>
      <c r="L169" s="3"/>
      <c r="M169" s="3"/>
      <c r="N169" s="8"/>
      <c r="O169" s="23"/>
      <c r="P169" s="23"/>
      <c r="Q169" s="8"/>
      <c r="R169" s="8"/>
      <c r="S169" s="8"/>
      <c r="T169" s="13"/>
      <c r="U169" s="8"/>
      <c r="V169" s="13"/>
      <c r="W169" s="19"/>
      <c r="X169" s="8"/>
      <c r="Y169" s="19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</row>
    <row r="170" spans="1:76" s="4" customForma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4"/>
      <c r="L170" s="3"/>
      <c r="M170" s="3"/>
      <c r="N170" s="8"/>
      <c r="O170" s="23"/>
      <c r="P170" s="23"/>
      <c r="Q170" s="8"/>
      <c r="R170" s="8"/>
      <c r="S170" s="8"/>
      <c r="T170" s="13"/>
      <c r="U170" s="8"/>
      <c r="V170" s="13"/>
      <c r="W170" s="19"/>
      <c r="X170" s="8"/>
      <c r="Y170" s="19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</row>
    <row r="171" spans="1:76" s="4" customForma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4"/>
      <c r="L171" s="3"/>
      <c r="M171" s="3"/>
      <c r="N171" s="8"/>
      <c r="O171" s="23"/>
      <c r="P171" s="23"/>
      <c r="Q171" s="8"/>
      <c r="R171" s="8"/>
      <c r="S171" s="8"/>
      <c r="T171" s="13"/>
      <c r="U171" s="8"/>
      <c r="V171" s="13"/>
      <c r="W171" s="19"/>
      <c r="X171" s="8"/>
      <c r="Y171" s="19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</row>
    <row r="172" spans="1:76" s="4" customForma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4"/>
      <c r="L172" s="3"/>
      <c r="M172" s="3"/>
      <c r="N172" s="8"/>
      <c r="O172" s="23"/>
      <c r="P172" s="23"/>
      <c r="Q172" s="8"/>
      <c r="R172" s="8"/>
      <c r="S172" s="8"/>
      <c r="T172" s="13"/>
      <c r="U172" s="8"/>
      <c r="V172" s="13"/>
      <c r="W172" s="19"/>
      <c r="X172" s="8"/>
      <c r="Y172" s="19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</row>
    <row r="173" spans="1:76" s="4" customForma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4"/>
      <c r="L173" s="3"/>
      <c r="M173" s="3"/>
      <c r="N173" s="8"/>
      <c r="O173" s="23"/>
      <c r="P173" s="23"/>
      <c r="Q173" s="8"/>
      <c r="R173" s="8"/>
      <c r="S173" s="8"/>
      <c r="T173" s="13"/>
      <c r="U173" s="8"/>
      <c r="V173" s="13"/>
      <c r="W173" s="19"/>
      <c r="X173" s="8"/>
      <c r="Y173" s="19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</row>
    <row r="174" spans="1:76" s="4" customForma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4"/>
      <c r="L174" s="3"/>
      <c r="M174" s="3"/>
      <c r="N174" s="8"/>
      <c r="O174" s="23"/>
      <c r="P174" s="23"/>
      <c r="Q174" s="8"/>
      <c r="R174" s="8"/>
      <c r="S174" s="8"/>
      <c r="T174" s="13"/>
      <c r="U174" s="8"/>
      <c r="V174" s="13"/>
      <c r="W174" s="19"/>
      <c r="X174" s="8"/>
      <c r="Y174" s="19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</row>
    <row r="175" spans="1:76" s="4" customForma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4"/>
      <c r="L175" s="3"/>
      <c r="M175" s="3"/>
      <c r="N175" s="8"/>
      <c r="O175" s="23"/>
      <c r="P175" s="23"/>
      <c r="Q175" s="8"/>
      <c r="R175" s="8"/>
      <c r="S175" s="8"/>
      <c r="T175" s="13"/>
      <c r="U175" s="8"/>
      <c r="V175" s="13"/>
      <c r="W175" s="19"/>
      <c r="X175" s="8"/>
      <c r="Y175" s="19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</row>
    <row r="176" spans="1:76" s="4" customForma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4"/>
      <c r="L176" s="3"/>
      <c r="M176" s="3"/>
      <c r="N176" s="8"/>
      <c r="O176" s="23"/>
      <c r="P176" s="23"/>
      <c r="Q176" s="8"/>
      <c r="R176" s="8"/>
      <c r="S176" s="8"/>
      <c r="T176" s="13"/>
      <c r="U176" s="8"/>
      <c r="V176" s="13"/>
      <c r="W176" s="19"/>
      <c r="X176" s="8"/>
      <c r="Y176" s="19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</row>
    <row r="177" spans="1:76" s="4" customForma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4"/>
      <c r="L177" s="3"/>
      <c r="M177" s="3"/>
      <c r="N177" s="8"/>
      <c r="O177" s="23"/>
      <c r="P177" s="23"/>
      <c r="Q177" s="8"/>
      <c r="R177" s="8"/>
      <c r="S177" s="8"/>
      <c r="T177" s="13"/>
      <c r="U177" s="8"/>
      <c r="V177" s="13"/>
      <c r="W177" s="19"/>
      <c r="X177" s="8"/>
      <c r="Y177" s="19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</row>
    <row r="178" spans="1:76" s="4" customForma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4"/>
      <c r="L178" s="3"/>
      <c r="M178" s="3"/>
      <c r="N178" s="8"/>
      <c r="O178" s="23"/>
      <c r="P178" s="23"/>
      <c r="Q178" s="8"/>
      <c r="R178" s="8"/>
      <c r="S178" s="8"/>
      <c r="T178" s="13"/>
      <c r="U178" s="8"/>
      <c r="V178" s="13"/>
      <c r="W178" s="19"/>
      <c r="X178" s="8"/>
      <c r="Y178" s="19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</row>
    <row r="179" spans="1:76" s="4" customForma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4"/>
      <c r="L179" s="3"/>
      <c r="M179" s="3"/>
      <c r="N179" s="8"/>
      <c r="O179" s="23"/>
      <c r="P179" s="23"/>
      <c r="Q179" s="8"/>
      <c r="R179" s="8"/>
      <c r="S179" s="8"/>
      <c r="T179" s="13"/>
      <c r="U179" s="8"/>
      <c r="V179" s="13"/>
      <c r="W179" s="19"/>
      <c r="X179" s="8"/>
      <c r="Y179" s="19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</row>
    <row r="180" spans="1:76" s="4" customForma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4"/>
      <c r="L180" s="3"/>
      <c r="M180" s="3"/>
      <c r="N180" s="8"/>
      <c r="O180" s="23"/>
      <c r="P180" s="23"/>
      <c r="Q180" s="8"/>
      <c r="R180" s="8"/>
      <c r="S180" s="8"/>
      <c r="T180" s="13"/>
      <c r="U180" s="8"/>
      <c r="V180" s="13"/>
      <c r="W180" s="19"/>
      <c r="X180" s="8"/>
      <c r="Y180" s="19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</row>
    <row r="181" spans="1:76" s="4" customForma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4"/>
      <c r="L181" s="3"/>
      <c r="M181" s="3"/>
      <c r="N181" s="8"/>
      <c r="O181" s="23"/>
      <c r="P181" s="23"/>
      <c r="Q181" s="8"/>
      <c r="R181" s="8"/>
      <c r="S181" s="8"/>
      <c r="T181" s="13"/>
      <c r="U181" s="8"/>
      <c r="V181" s="13"/>
      <c r="W181" s="19"/>
      <c r="X181" s="8"/>
      <c r="Y181" s="19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</row>
    <row r="182" spans="1:76" s="4" customForma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4"/>
      <c r="L182" s="3"/>
      <c r="M182" s="3"/>
      <c r="N182" s="8"/>
      <c r="O182" s="23"/>
      <c r="P182" s="23"/>
      <c r="Q182" s="8"/>
      <c r="R182" s="8"/>
      <c r="S182" s="8"/>
      <c r="T182" s="13"/>
      <c r="U182" s="8"/>
      <c r="V182" s="13"/>
      <c r="W182" s="19"/>
      <c r="X182" s="8"/>
      <c r="Y182" s="19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</row>
    <row r="183" spans="1:76" s="4" customForma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4"/>
      <c r="L183" s="3"/>
      <c r="M183" s="3"/>
      <c r="N183" s="8"/>
      <c r="O183" s="23"/>
      <c r="P183" s="23"/>
      <c r="Q183" s="8"/>
      <c r="R183" s="8"/>
      <c r="S183" s="8"/>
      <c r="T183" s="13"/>
      <c r="U183" s="8"/>
      <c r="V183" s="13"/>
      <c r="W183" s="19"/>
      <c r="X183" s="8"/>
      <c r="Y183" s="19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</row>
    <row r="184" spans="1:76" s="4" customForma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4"/>
      <c r="L184" s="3"/>
      <c r="M184" s="3"/>
      <c r="N184" s="8"/>
      <c r="O184" s="23"/>
      <c r="P184" s="23"/>
      <c r="Q184" s="8"/>
      <c r="R184" s="8"/>
      <c r="S184" s="8"/>
      <c r="T184" s="13"/>
      <c r="U184" s="8"/>
      <c r="V184" s="13"/>
      <c r="W184" s="19"/>
      <c r="X184" s="8"/>
      <c r="Y184" s="19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</row>
    <row r="185" spans="1:76" s="4" customForma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4"/>
      <c r="L185" s="3"/>
      <c r="M185" s="3"/>
      <c r="N185" s="8"/>
      <c r="O185" s="23"/>
      <c r="P185" s="23"/>
      <c r="Q185" s="8"/>
      <c r="R185" s="8"/>
      <c r="S185" s="8"/>
      <c r="T185" s="13"/>
      <c r="U185" s="8"/>
      <c r="V185" s="13"/>
      <c r="W185" s="19"/>
      <c r="X185" s="8"/>
      <c r="Y185" s="19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</row>
    <row r="186" spans="1:76" s="4" customForma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4"/>
      <c r="L186" s="3"/>
      <c r="M186" s="3"/>
      <c r="N186" s="8"/>
      <c r="O186" s="23"/>
      <c r="P186" s="23"/>
      <c r="Q186" s="8"/>
      <c r="R186" s="8"/>
      <c r="S186" s="8"/>
      <c r="T186" s="13"/>
      <c r="U186" s="8"/>
      <c r="V186" s="13"/>
      <c r="W186" s="19"/>
      <c r="X186" s="8"/>
      <c r="Y186" s="19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</row>
    <row r="187" spans="1:76" s="4" customForma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4"/>
      <c r="L187" s="3"/>
      <c r="M187" s="3"/>
      <c r="N187" s="8"/>
      <c r="O187" s="23"/>
      <c r="P187" s="23"/>
      <c r="Q187" s="8"/>
      <c r="R187" s="8"/>
      <c r="S187" s="8"/>
      <c r="T187" s="13"/>
      <c r="U187" s="8"/>
      <c r="V187" s="13"/>
      <c r="W187" s="19"/>
      <c r="X187" s="8"/>
      <c r="Y187" s="19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</row>
    <row r="188" spans="1:76" s="4" customForma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4"/>
      <c r="L188" s="3"/>
      <c r="M188" s="3"/>
      <c r="N188" s="8"/>
      <c r="O188" s="23"/>
      <c r="P188" s="23"/>
      <c r="Q188" s="8"/>
      <c r="R188" s="8"/>
      <c r="S188" s="8"/>
      <c r="T188" s="13"/>
      <c r="U188" s="8"/>
      <c r="V188" s="13"/>
      <c r="W188" s="19"/>
      <c r="X188" s="8"/>
      <c r="Y188" s="19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</row>
    <row r="189" spans="1:76" s="4" customForma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4"/>
      <c r="L189" s="3"/>
      <c r="M189" s="3"/>
      <c r="N189" s="8"/>
      <c r="O189" s="23"/>
      <c r="P189" s="23"/>
      <c r="Q189" s="8"/>
      <c r="R189" s="8"/>
      <c r="S189" s="8"/>
      <c r="T189" s="13"/>
      <c r="U189" s="8"/>
      <c r="V189" s="13"/>
      <c r="W189" s="19"/>
      <c r="X189" s="8"/>
      <c r="Y189" s="19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</row>
    <row r="190" spans="1:76" s="4" customForma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4"/>
      <c r="L190" s="3"/>
      <c r="M190" s="3"/>
      <c r="N190" s="8"/>
      <c r="O190" s="23"/>
      <c r="P190" s="23"/>
      <c r="Q190" s="8"/>
      <c r="R190" s="8"/>
      <c r="S190" s="8"/>
      <c r="T190" s="13"/>
      <c r="U190" s="8"/>
      <c r="V190" s="13"/>
      <c r="W190" s="19"/>
      <c r="X190" s="8"/>
      <c r="Y190" s="19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</row>
    <row r="191" spans="1:76" s="4" customForma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4"/>
      <c r="L191" s="3"/>
      <c r="M191" s="3"/>
      <c r="N191" s="8"/>
      <c r="O191" s="23"/>
      <c r="P191" s="23"/>
      <c r="Q191" s="8"/>
      <c r="R191" s="8"/>
      <c r="S191" s="8"/>
      <c r="T191" s="13"/>
      <c r="U191" s="8"/>
      <c r="V191" s="13"/>
      <c r="W191" s="19"/>
      <c r="X191" s="8"/>
      <c r="Y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</row>
    <row r="192" spans="1:76" s="4" customForma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4"/>
      <c r="L192" s="3"/>
      <c r="M192" s="3"/>
      <c r="N192" s="8"/>
      <c r="O192" s="23"/>
      <c r="P192" s="23"/>
      <c r="Q192" s="8"/>
      <c r="R192" s="8"/>
      <c r="S192" s="8"/>
      <c r="T192" s="13"/>
      <c r="U192" s="8"/>
      <c r="V192" s="13"/>
      <c r="W192" s="19"/>
      <c r="X192" s="8"/>
      <c r="Y192" s="19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</row>
    <row r="193" spans="1:76" s="4" customForma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4"/>
      <c r="L193" s="3"/>
      <c r="M193" s="3"/>
      <c r="N193" s="8"/>
      <c r="O193" s="23"/>
      <c r="P193" s="23"/>
      <c r="Q193" s="8"/>
      <c r="R193" s="8"/>
      <c r="S193" s="8"/>
      <c r="T193" s="13"/>
      <c r="U193" s="8"/>
      <c r="V193" s="13"/>
      <c r="W193" s="19"/>
      <c r="X193" s="8"/>
      <c r="Y193" s="19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</row>
    <row r="194" spans="1:76" s="4" customForma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4"/>
      <c r="L194" s="3"/>
      <c r="M194" s="3"/>
      <c r="N194" s="8"/>
      <c r="O194" s="23"/>
      <c r="P194" s="23"/>
      <c r="Q194" s="8"/>
      <c r="R194" s="8"/>
      <c r="S194" s="8"/>
      <c r="T194" s="13"/>
      <c r="U194" s="8"/>
      <c r="V194" s="13"/>
      <c r="W194" s="19"/>
      <c r="X194" s="8"/>
      <c r="Y194" s="19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</row>
    <row r="195" spans="1:76" s="4" customForma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4"/>
      <c r="L195" s="3"/>
      <c r="M195" s="3"/>
      <c r="N195" s="8"/>
      <c r="O195" s="23"/>
      <c r="P195" s="23"/>
      <c r="Q195" s="8"/>
      <c r="R195" s="8"/>
      <c r="S195" s="8"/>
      <c r="T195" s="13"/>
      <c r="U195" s="8"/>
      <c r="V195" s="13"/>
      <c r="W195" s="19"/>
      <c r="X195" s="8"/>
      <c r="Y195" s="19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</row>
    <row r="196" spans="1:76" s="4" customForma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4"/>
      <c r="L196" s="3"/>
      <c r="M196" s="3"/>
      <c r="N196" s="8"/>
      <c r="O196" s="23"/>
      <c r="P196" s="23"/>
      <c r="Q196" s="8"/>
      <c r="R196" s="8"/>
      <c r="S196" s="8"/>
      <c r="T196" s="13"/>
      <c r="U196" s="8"/>
      <c r="V196" s="13"/>
      <c r="W196" s="19"/>
      <c r="X196" s="8"/>
      <c r="Y196" s="19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</row>
    <row r="197" spans="1:76" s="4" customForma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4"/>
      <c r="L197" s="3"/>
      <c r="M197" s="3"/>
      <c r="N197" s="8"/>
      <c r="O197" s="23"/>
      <c r="P197" s="23"/>
      <c r="Q197" s="8"/>
      <c r="R197" s="8"/>
      <c r="S197" s="8"/>
      <c r="T197" s="13"/>
      <c r="U197" s="8"/>
      <c r="V197" s="13"/>
      <c r="W197" s="19"/>
      <c r="X197" s="8"/>
      <c r="Y197" s="19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</row>
    <row r="198" spans="1:76" s="4" customForma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4"/>
      <c r="L198" s="3"/>
      <c r="M198" s="3"/>
      <c r="N198" s="8"/>
      <c r="O198" s="23"/>
      <c r="P198" s="23"/>
      <c r="Q198" s="8"/>
      <c r="R198" s="8"/>
      <c r="S198" s="8"/>
      <c r="T198" s="13"/>
      <c r="U198" s="8"/>
      <c r="V198" s="13"/>
      <c r="W198" s="19"/>
      <c r="X198" s="8"/>
      <c r="Y198" s="19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</row>
    <row r="199" spans="1:76" s="4" customForma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4"/>
      <c r="L199" s="3"/>
      <c r="M199" s="3"/>
      <c r="N199" s="8"/>
      <c r="O199" s="23"/>
      <c r="P199" s="23"/>
      <c r="Q199" s="8"/>
      <c r="R199" s="8"/>
      <c r="S199" s="8"/>
      <c r="T199" s="13"/>
      <c r="U199" s="8"/>
      <c r="V199" s="13"/>
      <c r="W199" s="19"/>
      <c r="X199" s="8"/>
      <c r="Y199" s="19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</row>
    <row r="200" spans="1:76" s="4" customForma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4"/>
      <c r="L200" s="3"/>
      <c r="M200" s="3"/>
      <c r="N200" s="8"/>
      <c r="O200" s="23"/>
      <c r="P200" s="23"/>
      <c r="Q200" s="8"/>
      <c r="R200" s="8"/>
      <c r="S200" s="8"/>
      <c r="T200" s="13"/>
      <c r="U200" s="8"/>
      <c r="V200" s="13"/>
      <c r="W200" s="19"/>
      <c r="X200" s="8"/>
      <c r="Y200" s="19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</row>
    <row r="201" spans="1:76" s="4" customForma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4"/>
      <c r="L201" s="3"/>
      <c r="M201" s="3"/>
      <c r="N201" s="8"/>
      <c r="O201" s="23"/>
      <c r="P201" s="23"/>
      <c r="Q201" s="8"/>
      <c r="R201" s="8"/>
      <c r="S201" s="8"/>
      <c r="T201" s="13"/>
      <c r="U201" s="8"/>
      <c r="V201" s="13"/>
      <c r="W201" s="19"/>
      <c r="X201" s="8"/>
      <c r="Y201" s="19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</row>
    <row r="202" spans="1:76" s="4" customForma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4"/>
      <c r="L202" s="3"/>
      <c r="M202" s="3"/>
      <c r="N202" s="8"/>
      <c r="O202" s="23"/>
      <c r="P202" s="23"/>
      <c r="Q202" s="8"/>
      <c r="R202" s="8"/>
      <c r="S202" s="8"/>
      <c r="T202" s="13"/>
      <c r="U202" s="8"/>
      <c r="V202" s="13"/>
      <c r="W202" s="19"/>
      <c r="X202" s="8"/>
      <c r="Y202" s="19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</row>
    <row r="203" spans="1:76" s="4" customForma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4"/>
      <c r="L203" s="3"/>
      <c r="M203" s="3"/>
      <c r="N203" s="8"/>
      <c r="O203" s="23"/>
      <c r="P203" s="23"/>
      <c r="Q203" s="8"/>
      <c r="R203" s="8"/>
      <c r="S203" s="8"/>
      <c r="T203" s="13"/>
      <c r="U203" s="8"/>
      <c r="V203" s="13"/>
      <c r="W203" s="19"/>
      <c r="X203" s="8"/>
      <c r="Y203" s="19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</row>
    <row r="204" spans="1:76" s="4" customForma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4"/>
      <c r="L204" s="3"/>
      <c r="M204" s="3"/>
      <c r="N204" s="8"/>
      <c r="O204" s="23"/>
      <c r="P204" s="23"/>
      <c r="Q204" s="8"/>
      <c r="R204" s="8"/>
      <c r="S204" s="8"/>
      <c r="T204" s="13"/>
      <c r="U204" s="8"/>
      <c r="V204" s="13"/>
      <c r="W204" s="19"/>
      <c r="X204" s="8"/>
      <c r="Y204" s="19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</row>
    <row r="205" spans="1:76" s="4" customForma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4"/>
      <c r="L205" s="3"/>
      <c r="M205" s="3"/>
      <c r="N205" s="8"/>
      <c r="O205" s="23"/>
      <c r="P205" s="23"/>
      <c r="Q205" s="8"/>
      <c r="R205" s="8"/>
      <c r="S205" s="8"/>
      <c r="T205" s="13"/>
      <c r="U205" s="8"/>
      <c r="V205" s="13"/>
      <c r="W205" s="19"/>
      <c r="X205" s="8"/>
      <c r="Y205" s="19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</row>
    <row r="206" spans="1:76" s="4" customForma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4"/>
      <c r="L206" s="3"/>
      <c r="M206" s="3"/>
      <c r="N206" s="8"/>
      <c r="O206" s="23"/>
      <c r="P206" s="23"/>
      <c r="Q206" s="8"/>
      <c r="R206" s="8"/>
      <c r="S206" s="8"/>
      <c r="T206" s="13"/>
      <c r="U206" s="8"/>
      <c r="V206" s="13"/>
      <c r="W206" s="19"/>
      <c r="X206" s="8"/>
      <c r="Y206" s="19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</row>
    <row r="207" spans="1:76" s="4" customForma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4"/>
      <c r="L207" s="3"/>
      <c r="M207" s="3"/>
      <c r="N207" s="8"/>
      <c r="O207" s="23"/>
      <c r="P207" s="23"/>
      <c r="Q207" s="8"/>
      <c r="R207" s="8"/>
      <c r="S207" s="8"/>
      <c r="T207" s="13"/>
      <c r="U207" s="8"/>
      <c r="V207" s="13"/>
      <c r="W207" s="19"/>
      <c r="X207" s="8"/>
      <c r="Y207" s="19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</row>
    <row r="208" spans="1:76" s="4" customForma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4"/>
      <c r="L208" s="3"/>
      <c r="M208" s="3"/>
      <c r="N208" s="8"/>
      <c r="O208" s="23"/>
      <c r="P208" s="23"/>
      <c r="Q208" s="8"/>
      <c r="R208" s="8"/>
      <c r="S208" s="8"/>
      <c r="T208" s="13"/>
      <c r="U208" s="8"/>
      <c r="V208" s="13"/>
      <c r="W208" s="19"/>
      <c r="X208" s="8"/>
      <c r="Y208" s="19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6110-4248-49D1-9478-82E7EB7D753C}">
  <dimension ref="A1:BX208"/>
  <sheetViews>
    <sheetView topLeftCell="A59" zoomScale="110" zoomScaleNormal="110" workbookViewId="0">
      <selection activeCell="Y43" sqref="Y43:Y82"/>
    </sheetView>
  </sheetViews>
  <sheetFormatPr defaultColWidth="8.90625" defaultRowHeight="14" x14ac:dyDescent="0.3"/>
  <cols>
    <col min="1" max="4" width="22.08984375" style="1" customWidth="1"/>
    <col min="5" max="5" width="18.81640625" style="1" customWidth="1"/>
    <col min="6" max="6" width="17.36328125" style="1" customWidth="1"/>
    <col min="7" max="7" width="16.6328125" style="1" customWidth="1"/>
    <col min="8" max="8" width="20.90625" style="1" customWidth="1"/>
    <col min="9" max="9" width="19.1796875" style="1" customWidth="1"/>
    <col min="10" max="10" width="23.08984375" style="1" customWidth="1"/>
    <col min="11" max="11" width="13.6328125" style="14" customWidth="1"/>
    <col min="12" max="12" width="20.90625" style="3" customWidth="1"/>
    <col min="13" max="13" width="27.36328125" style="3" customWidth="1"/>
    <col min="14" max="14" width="20.6328125" style="8" customWidth="1"/>
    <col min="15" max="15" width="20.6328125" style="23" customWidth="1"/>
    <col min="16" max="16" width="32.90625" style="23" customWidth="1"/>
    <col min="17" max="17" width="23.1796875" style="8" customWidth="1"/>
    <col min="18" max="18" width="30.90625" style="8" customWidth="1"/>
    <col min="19" max="19" width="20.6328125" style="8" customWidth="1"/>
    <col min="20" max="20" width="20.6328125" style="13" customWidth="1"/>
    <col min="21" max="21" width="20.6328125" style="8" customWidth="1"/>
    <col min="22" max="22" width="20.6328125" style="13" customWidth="1"/>
    <col min="23" max="23" width="23.81640625" style="19" customWidth="1"/>
    <col min="24" max="24" width="47.36328125" style="8" customWidth="1"/>
    <col min="25" max="25" width="51.6328125" style="19" customWidth="1"/>
    <col min="26" max="16384" width="8.90625" style="6"/>
  </cols>
  <sheetData>
    <row r="1" spans="1:25" s="24" customFormat="1" ht="53.4" customHeight="1" x14ac:dyDescent="0.35">
      <c r="A1" s="15" t="s">
        <v>7</v>
      </c>
      <c r="B1" s="16" t="s">
        <v>6</v>
      </c>
      <c r="C1" s="15" t="s">
        <v>2</v>
      </c>
      <c r="D1" s="15" t="s">
        <v>1</v>
      </c>
      <c r="E1" s="16" t="s">
        <v>0</v>
      </c>
      <c r="F1" s="15" t="s">
        <v>3</v>
      </c>
      <c r="G1" s="16" t="s">
        <v>10</v>
      </c>
      <c r="H1" s="15" t="s">
        <v>4</v>
      </c>
      <c r="I1" s="16" t="s">
        <v>11</v>
      </c>
      <c r="J1" s="16" t="s">
        <v>8</v>
      </c>
      <c r="K1" s="15" t="s">
        <v>5</v>
      </c>
      <c r="L1" s="16" t="s">
        <v>9</v>
      </c>
      <c r="M1" s="10" t="s">
        <v>19</v>
      </c>
      <c r="N1" s="17" t="s">
        <v>26</v>
      </c>
      <c r="O1" s="22" t="s">
        <v>17</v>
      </c>
      <c r="P1" s="22" t="s">
        <v>24</v>
      </c>
      <c r="Q1" s="18" t="s">
        <v>12</v>
      </c>
      <c r="R1" s="17" t="s">
        <v>15</v>
      </c>
      <c r="S1" s="17" t="s">
        <v>25</v>
      </c>
      <c r="T1" s="12" t="s">
        <v>13</v>
      </c>
      <c r="U1" s="17" t="s">
        <v>14</v>
      </c>
      <c r="V1" s="12" t="s">
        <v>22</v>
      </c>
      <c r="W1" s="12" t="s">
        <v>21</v>
      </c>
      <c r="X1" s="25" t="s">
        <v>23</v>
      </c>
      <c r="Y1" s="25" t="s">
        <v>20</v>
      </c>
    </row>
    <row r="2" spans="1:25" x14ac:dyDescent="0.3">
      <c r="A2" s="1">
        <v>0</v>
      </c>
      <c r="B2" s="1">
        <f>(A2/60)</f>
        <v>0</v>
      </c>
      <c r="C2" s="1">
        <v>20</v>
      </c>
      <c r="D2" s="1">
        <f t="shared" ref="D2:D65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28">
        <v>34.920792079207921</v>
      </c>
      <c r="L2" s="2">
        <f>(K2/1000000)</f>
        <v>3.4920792079207919E-5</v>
      </c>
      <c r="M2" s="3">
        <f>(3.142*3.07*3.07*25.4*25.4)/(4*1000000)</f>
        <v>4.7762865441819992E-3</v>
      </c>
      <c r="N2" s="2">
        <f>(L2*J2)/M2</f>
        <v>1.4713833021294123E-7</v>
      </c>
      <c r="O2" s="21">
        <f>(2.032/1000)</f>
        <v>2.032E-3</v>
      </c>
      <c r="P2" s="21">
        <v>7.0840480334740597E-11</v>
      </c>
      <c r="Q2" s="2">
        <v>0.31</v>
      </c>
      <c r="R2" s="2">
        <f>(1+Q2)*100000*1</f>
        <v>131000</v>
      </c>
      <c r="S2" s="2">
        <f>(5.19402087617513/1000)</f>
        <v>5.1940208761751296E-3</v>
      </c>
      <c r="T2" s="11">
        <v>0.1</v>
      </c>
      <c r="U2" s="11">
        <f>(1+T2)*100000</f>
        <v>110000.00000000001</v>
      </c>
      <c r="V2" s="11">
        <f t="shared" ref="V2:V65" si="1">(L2*U2)</f>
        <v>3.8412871287128714</v>
      </c>
      <c r="W2" s="11">
        <f>((N2*O2/P2) + SQRT(V2))^2</f>
        <v>38.198089157358879</v>
      </c>
      <c r="X2" s="2">
        <f>(N2*S2)/(R2-W2)</f>
        <v>5.8355913530561572E-15</v>
      </c>
      <c r="Y2" s="2">
        <f>(X2*6.022E+23)</f>
        <v>3514193112.8104181</v>
      </c>
    </row>
    <row r="3" spans="1:25" x14ac:dyDescent="0.3">
      <c r="A3" s="26">
        <v>3</v>
      </c>
      <c r="B3" s="26">
        <f t="shared" ref="B3:B66" si="2">(A3/60)</f>
        <v>0.05</v>
      </c>
      <c r="C3" s="26">
        <v>20</v>
      </c>
      <c r="D3" s="26">
        <f t="shared" si="0"/>
        <v>29.146000000000001</v>
      </c>
      <c r="E3" s="26">
        <f t="shared" ref="E3:E66" si="3">(D3/(1000000*60))</f>
        <v>4.8576666666666667E-7</v>
      </c>
      <c r="F3" s="26">
        <v>21.1</v>
      </c>
      <c r="G3" s="26">
        <f t="shared" ref="G3:G66" si="4">(273+F3)</f>
        <v>294.10000000000002</v>
      </c>
      <c r="H3" s="26">
        <v>101.3</v>
      </c>
      <c r="I3" s="26">
        <f t="shared" ref="I3:I66" si="5">(H3*1000)</f>
        <v>101300</v>
      </c>
      <c r="J3" s="26">
        <f t="shared" ref="J3:J66" si="6">((I3*E3)/(8.314*G3))</f>
        <v>2.0124824921938581E-5</v>
      </c>
      <c r="K3" s="28">
        <v>38.955445544554458</v>
      </c>
      <c r="L3" s="27">
        <f t="shared" ref="L3:L66" si="7">(K3/1000000)</f>
        <v>3.8955445544554459E-5</v>
      </c>
      <c r="M3" s="29">
        <f t="shared" ref="M3:M66" si="8">(3.142*3.07*3.07*25.4*25.4)/(4*1000000)</f>
        <v>4.7762865441819992E-3</v>
      </c>
      <c r="N3" s="27">
        <f t="shared" ref="N3:N66" si="9">(L3*J3)/M3</f>
        <v>1.6413829323017219E-7</v>
      </c>
      <c r="O3" s="21">
        <f t="shared" ref="O3:O66" si="10">(2.032/1000)</f>
        <v>2.032E-3</v>
      </c>
      <c r="P3" s="21">
        <v>7.0840480334740597E-11</v>
      </c>
      <c r="Q3" s="2">
        <v>0.31</v>
      </c>
      <c r="R3" s="27">
        <f t="shared" ref="R3:R66" si="11">(1+Q3)*100000*1</f>
        <v>131000</v>
      </c>
      <c r="S3" s="2">
        <f t="shared" ref="S3:S66" si="12">(5.19402087617513/1000)</f>
        <v>5.1940208761751296E-3</v>
      </c>
      <c r="T3" s="11">
        <v>0.1</v>
      </c>
      <c r="U3" s="30">
        <f t="shared" ref="U3:U66" si="13">(1+T3)*100000</f>
        <v>110000.00000000001</v>
      </c>
      <c r="V3" s="30">
        <f t="shared" si="1"/>
        <v>4.2850990099009909</v>
      </c>
      <c r="W3" s="11">
        <f t="shared" ref="W3:W66" si="14">((N3*O3/P3) + SQRT(V3))^2</f>
        <v>45.944237813988899</v>
      </c>
      <c r="X3" s="2">
        <f t="shared" ref="X3:X66" si="15">(N3*S3)/(R3-W3)</f>
        <v>6.5102047940041442E-15</v>
      </c>
      <c r="Y3" s="2">
        <f t="shared" ref="Y3:Y66" si="16">(X3*6.022E+23)</f>
        <v>3920445326.949296</v>
      </c>
    </row>
    <row r="4" spans="1:25" x14ac:dyDescent="0.3">
      <c r="A4" s="26">
        <v>6</v>
      </c>
      <c r="B4" s="26">
        <f t="shared" si="2"/>
        <v>0.1</v>
      </c>
      <c r="C4" s="26">
        <v>20</v>
      </c>
      <c r="D4" s="26">
        <f t="shared" si="0"/>
        <v>29.146000000000001</v>
      </c>
      <c r="E4" s="26">
        <f t="shared" si="3"/>
        <v>4.8576666666666667E-7</v>
      </c>
      <c r="F4" s="26">
        <v>21.1</v>
      </c>
      <c r="G4" s="26">
        <f t="shared" si="4"/>
        <v>294.10000000000002</v>
      </c>
      <c r="H4" s="26">
        <v>101.3</v>
      </c>
      <c r="I4" s="26">
        <f t="shared" si="5"/>
        <v>101300</v>
      </c>
      <c r="J4" s="26">
        <f t="shared" si="6"/>
        <v>2.0124824921938581E-5</v>
      </c>
      <c r="K4" s="28">
        <v>36.232673267326732</v>
      </c>
      <c r="L4" s="27">
        <f t="shared" si="7"/>
        <v>3.6232673267326731E-5</v>
      </c>
      <c r="M4" s="29">
        <f t="shared" si="8"/>
        <v>4.7762865441819992E-3</v>
      </c>
      <c r="N4" s="27">
        <f t="shared" si="9"/>
        <v>1.5266592554983226E-7</v>
      </c>
      <c r="O4" s="21">
        <f t="shared" si="10"/>
        <v>2.032E-3</v>
      </c>
      <c r="P4" s="21">
        <v>7.0840480334740597E-11</v>
      </c>
      <c r="Q4" s="2">
        <v>0.31</v>
      </c>
      <c r="R4" s="27">
        <f t="shared" si="11"/>
        <v>131000</v>
      </c>
      <c r="S4" s="2">
        <f t="shared" si="12"/>
        <v>5.1940208761751296E-3</v>
      </c>
      <c r="T4" s="11">
        <v>0.1</v>
      </c>
      <c r="U4" s="30">
        <f t="shared" si="13"/>
        <v>110000.00000000001</v>
      </c>
      <c r="V4" s="30">
        <f t="shared" si="1"/>
        <v>3.9855940594059409</v>
      </c>
      <c r="W4" s="11">
        <f t="shared" si="14"/>
        <v>40.646870283592563</v>
      </c>
      <c r="X4" s="2">
        <f t="shared" si="15"/>
        <v>6.0549322017573103E-15</v>
      </c>
      <c r="Y4" s="2">
        <f t="shared" si="16"/>
        <v>3646280171.8982525</v>
      </c>
    </row>
    <row r="5" spans="1:25" x14ac:dyDescent="0.3">
      <c r="A5" s="26">
        <v>9</v>
      </c>
      <c r="B5" s="26">
        <f t="shared" si="2"/>
        <v>0.15</v>
      </c>
      <c r="C5" s="26">
        <v>20</v>
      </c>
      <c r="D5" s="26">
        <f t="shared" si="0"/>
        <v>29.146000000000001</v>
      </c>
      <c r="E5" s="26">
        <f t="shared" si="3"/>
        <v>4.8576666666666667E-7</v>
      </c>
      <c r="F5" s="26">
        <v>21.1</v>
      </c>
      <c r="G5" s="26">
        <f t="shared" si="4"/>
        <v>294.10000000000002</v>
      </c>
      <c r="H5" s="26">
        <v>101.3</v>
      </c>
      <c r="I5" s="26">
        <f t="shared" si="5"/>
        <v>101300</v>
      </c>
      <c r="J5" s="26">
        <f t="shared" si="6"/>
        <v>2.0124824921938581E-5</v>
      </c>
      <c r="K5" s="28">
        <v>31.628712871287131</v>
      </c>
      <c r="L5" s="27">
        <f t="shared" si="7"/>
        <v>3.162871287128713E-5</v>
      </c>
      <c r="M5" s="29">
        <f t="shared" si="8"/>
        <v>4.7762865441819992E-3</v>
      </c>
      <c r="N5" s="27">
        <f t="shared" si="9"/>
        <v>1.3326719474489389E-7</v>
      </c>
      <c r="O5" s="21">
        <f t="shared" si="10"/>
        <v>2.032E-3</v>
      </c>
      <c r="P5" s="21">
        <v>7.0840480334740597E-11</v>
      </c>
      <c r="Q5" s="2">
        <v>0.31</v>
      </c>
      <c r="R5" s="27">
        <f t="shared" si="11"/>
        <v>131000</v>
      </c>
      <c r="S5" s="2">
        <f t="shared" si="12"/>
        <v>5.1940208761751296E-3</v>
      </c>
      <c r="T5" s="11">
        <v>0.1</v>
      </c>
      <c r="U5" s="30">
        <f t="shared" si="13"/>
        <v>110000.00000000001</v>
      </c>
      <c r="V5" s="30">
        <f t="shared" si="1"/>
        <v>3.4791584158415847</v>
      </c>
      <c r="W5" s="11">
        <f t="shared" si="14"/>
        <v>32.352301760369528</v>
      </c>
      <c r="X5" s="2">
        <f t="shared" si="15"/>
        <v>5.2852181724233514E-15</v>
      </c>
      <c r="Y5" s="2">
        <f t="shared" si="16"/>
        <v>3182758383.4333425</v>
      </c>
    </row>
    <row r="6" spans="1:25" x14ac:dyDescent="0.3">
      <c r="A6" s="26">
        <v>12</v>
      </c>
      <c r="B6" s="26">
        <f t="shared" si="2"/>
        <v>0.2</v>
      </c>
      <c r="C6" s="26">
        <v>20</v>
      </c>
      <c r="D6" s="26">
        <f t="shared" si="0"/>
        <v>29.146000000000001</v>
      </c>
      <c r="E6" s="26">
        <f t="shared" si="3"/>
        <v>4.8576666666666667E-7</v>
      </c>
      <c r="F6" s="26">
        <v>21.1</v>
      </c>
      <c r="G6" s="26">
        <f t="shared" si="4"/>
        <v>294.10000000000002</v>
      </c>
      <c r="H6" s="26">
        <v>101.3</v>
      </c>
      <c r="I6" s="26">
        <f t="shared" si="5"/>
        <v>101300</v>
      </c>
      <c r="J6" s="26">
        <f t="shared" si="6"/>
        <v>2.0124824921938581E-5</v>
      </c>
      <c r="K6" s="28">
        <v>38.262376237623762</v>
      </c>
      <c r="L6" s="27">
        <f t="shared" si="7"/>
        <v>3.8262376237623759E-5</v>
      </c>
      <c r="M6" s="29">
        <f t="shared" si="8"/>
        <v>4.7762865441819992E-3</v>
      </c>
      <c r="N6" s="27">
        <f t="shared" si="9"/>
        <v>1.6121805418426746E-7</v>
      </c>
      <c r="O6" s="21">
        <f t="shared" si="10"/>
        <v>2.032E-3</v>
      </c>
      <c r="P6" s="21">
        <v>7.0840480334740597E-11</v>
      </c>
      <c r="Q6" s="2">
        <v>0.31</v>
      </c>
      <c r="R6" s="27">
        <f t="shared" si="11"/>
        <v>131000</v>
      </c>
      <c r="S6" s="2">
        <f t="shared" si="12"/>
        <v>5.1940208761751296E-3</v>
      </c>
      <c r="T6" s="11">
        <v>0.1</v>
      </c>
      <c r="U6" s="30">
        <f t="shared" si="13"/>
        <v>110000.00000000001</v>
      </c>
      <c r="V6" s="30">
        <f t="shared" si="1"/>
        <v>4.2088613861386142</v>
      </c>
      <c r="W6" s="11">
        <f t="shared" si="14"/>
        <v>44.568390884529876</v>
      </c>
      <c r="X6" s="2">
        <f t="shared" si="15"/>
        <v>6.3943123913245242E-15</v>
      </c>
      <c r="Y6" s="2">
        <f t="shared" si="16"/>
        <v>3850654922.0556288</v>
      </c>
    </row>
    <row r="7" spans="1:25" x14ac:dyDescent="0.3">
      <c r="A7" s="26">
        <v>15</v>
      </c>
      <c r="B7" s="26">
        <f t="shared" si="2"/>
        <v>0.25</v>
      </c>
      <c r="C7" s="26">
        <v>20</v>
      </c>
      <c r="D7" s="26">
        <f t="shared" si="0"/>
        <v>29.146000000000001</v>
      </c>
      <c r="E7" s="26">
        <f t="shared" si="3"/>
        <v>4.8576666666666667E-7</v>
      </c>
      <c r="F7" s="26">
        <v>21.1</v>
      </c>
      <c r="G7" s="26">
        <f t="shared" si="4"/>
        <v>294.10000000000002</v>
      </c>
      <c r="H7" s="26">
        <v>101.3</v>
      </c>
      <c r="I7" s="26">
        <f t="shared" si="5"/>
        <v>101300</v>
      </c>
      <c r="J7" s="26">
        <f t="shared" si="6"/>
        <v>2.0124824921938581E-5</v>
      </c>
      <c r="K7" s="28">
        <v>34.178217821782184</v>
      </c>
      <c r="L7" s="27">
        <f t="shared" si="7"/>
        <v>3.4178217821782181E-5</v>
      </c>
      <c r="M7" s="29">
        <f t="shared" si="8"/>
        <v>4.7762865441819992E-3</v>
      </c>
      <c r="N7" s="27">
        <f t="shared" si="9"/>
        <v>1.4400950266375765E-7</v>
      </c>
      <c r="O7" s="21">
        <f t="shared" si="10"/>
        <v>2.032E-3</v>
      </c>
      <c r="P7" s="21">
        <v>7.0840480334740597E-11</v>
      </c>
      <c r="Q7" s="2">
        <v>0.31</v>
      </c>
      <c r="R7" s="27">
        <f t="shared" si="11"/>
        <v>131000</v>
      </c>
      <c r="S7" s="2">
        <f t="shared" si="12"/>
        <v>5.1940208761751296E-3</v>
      </c>
      <c r="T7" s="11">
        <v>0.1</v>
      </c>
      <c r="U7" s="30">
        <f t="shared" si="13"/>
        <v>110000.00000000001</v>
      </c>
      <c r="V7" s="30">
        <f t="shared" si="1"/>
        <v>3.7596039603960403</v>
      </c>
      <c r="W7" s="11">
        <f t="shared" si="14"/>
        <v>36.842011965900753</v>
      </c>
      <c r="X7" s="2">
        <f t="shared" si="15"/>
        <v>5.7114411006452489E-15</v>
      </c>
      <c r="Y7" s="2">
        <f t="shared" si="16"/>
        <v>3439429830.808569</v>
      </c>
    </row>
    <row r="8" spans="1:25" x14ac:dyDescent="0.3">
      <c r="A8" s="26">
        <v>18</v>
      </c>
      <c r="B8" s="26">
        <f t="shared" si="2"/>
        <v>0.3</v>
      </c>
      <c r="C8" s="26">
        <v>20</v>
      </c>
      <c r="D8" s="26">
        <f t="shared" si="0"/>
        <v>29.146000000000001</v>
      </c>
      <c r="E8" s="26">
        <f t="shared" si="3"/>
        <v>4.8576666666666667E-7</v>
      </c>
      <c r="F8" s="26">
        <v>21.1</v>
      </c>
      <c r="G8" s="26">
        <f t="shared" si="4"/>
        <v>294.10000000000002</v>
      </c>
      <c r="H8" s="26">
        <v>101.3</v>
      </c>
      <c r="I8" s="26">
        <f t="shared" si="5"/>
        <v>101300</v>
      </c>
      <c r="J8" s="26">
        <f t="shared" si="6"/>
        <v>2.0124824921938581E-5</v>
      </c>
      <c r="K8" s="28">
        <v>34.277227722772281</v>
      </c>
      <c r="L8" s="27">
        <f t="shared" si="7"/>
        <v>3.4277227722772284E-5</v>
      </c>
      <c r="M8" s="29">
        <f t="shared" si="8"/>
        <v>4.7762865441819992E-3</v>
      </c>
      <c r="N8" s="27">
        <f t="shared" si="9"/>
        <v>1.4442667967031548E-7</v>
      </c>
      <c r="O8" s="21">
        <f t="shared" si="10"/>
        <v>2.032E-3</v>
      </c>
      <c r="P8" s="21">
        <v>7.0840480334740597E-11</v>
      </c>
      <c r="Q8" s="2">
        <v>0.31</v>
      </c>
      <c r="R8" s="27">
        <f t="shared" si="11"/>
        <v>131000</v>
      </c>
      <c r="S8" s="2">
        <f t="shared" si="12"/>
        <v>5.1940208761751296E-3</v>
      </c>
      <c r="T8" s="11">
        <v>0.1</v>
      </c>
      <c r="U8" s="30">
        <f t="shared" si="13"/>
        <v>110000.00000000001</v>
      </c>
      <c r="V8" s="30">
        <f t="shared" si="1"/>
        <v>3.7704950495049516</v>
      </c>
      <c r="W8" s="11">
        <f t="shared" si="14"/>
        <v>37.021565159549581</v>
      </c>
      <c r="X8" s="2">
        <f t="shared" si="15"/>
        <v>5.7279942641004479E-15</v>
      </c>
      <c r="Y8" s="2">
        <f t="shared" si="16"/>
        <v>3449398145.84129</v>
      </c>
    </row>
    <row r="9" spans="1:25" x14ac:dyDescent="0.3">
      <c r="A9" s="26">
        <v>21</v>
      </c>
      <c r="B9" s="26">
        <f t="shared" si="2"/>
        <v>0.35</v>
      </c>
      <c r="C9" s="26">
        <v>20</v>
      </c>
      <c r="D9" s="26">
        <f t="shared" si="0"/>
        <v>29.146000000000001</v>
      </c>
      <c r="E9" s="26">
        <f t="shared" si="3"/>
        <v>4.8576666666666667E-7</v>
      </c>
      <c r="F9" s="26">
        <v>21.1</v>
      </c>
      <c r="G9" s="26">
        <f t="shared" si="4"/>
        <v>294.10000000000002</v>
      </c>
      <c r="H9" s="26">
        <v>101.3</v>
      </c>
      <c r="I9" s="26">
        <f t="shared" si="5"/>
        <v>101300</v>
      </c>
      <c r="J9" s="26">
        <f t="shared" si="6"/>
        <v>2.0124824921938581E-5</v>
      </c>
      <c r="K9" s="28">
        <v>33.064356435643568</v>
      </c>
      <c r="L9" s="27">
        <f t="shared" si="7"/>
        <v>3.3064356435643567E-5</v>
      </c>
      <c r="M9" s="29">
        <f t="shared" si="8"/>
        <v>4.7762865441819992E-3</v>
      </c>
      <c r="N9" s="27">
        <f t="shared" si="9"/>
        <v>1.3931626133998224E-7</v>
      </c>
      <c r="O9" s="21">
        <f t="shared" si="10"/>
        <v>2.032E-3</v>
      </c>
      <c r="P9" s="21">
        <v>7.0840480334740597E-11</v>
      </c>
      <c r="Q9" s="2">
        <v>0.31</v>
      </c>
      <c r="R9" s="27">
        <f t="shared" si="11"/>
        <v>131000</v>
      </c>
      <c r="S9" s="2">
        <f t="shared" si="12"/>
        <v>5.1940208761751296E-3</v>
      </c>
      <c r="T9" s="11">
        <v>0.1</v>
      </c>
      <c r="U9" s="30">
        <f t="shared" si="13"/>
        <v>110000.00000000001</v>
      </c>
      <c r="V9" s="30">
        <f t="shared" si="1"/>
        <v>3.637079207920793</v>
      </c>
      <c r="W9" s="11">
        <f t="shared" si="14"/>
        <v>34.848754532966815</v>
      </c>
      <c r="X9" s="2">
        <f t="shared" si="15"/>
        <v>5.5252222664506993E-15</v>
      </c>
      <c r="Y9" s="2">
        <f t="shared" si="16"/>
        <v>3327288848.8566113</v>
      </c>
    </row>
    <row r="10" spans="1:25" x14ac:dyDescent="0.3">
      <c r="A10" s="26">
        <v>24</v>
      </c>
      <c r="B10" s="26">
        <f t="shared" si="2"/>
        <v>0.4</v>
      </c>
      <c r="C10" s="26">
        <v>20</v>
      </c>
      <c r="D10" s="26">
        <f t="shared" si="0"/>
        <v>29.146000000000001</v>
      </c>
      <c r="E10" s="26">
        <f t="shared" si="3"/>
        <v>4.8576666666666667E-7</v>
      </c>
      <c r="F10" s="26">
        <v>21.1</v>
      </c>
      <c r="G10" s="26">
        <f t="shared" si="4"/>
        <v>294.10000000000002</v>
      </c>
      <c r="H10" s="26">
        <v>101.3</v>
      </c>
      <c r="I10" s="26">
        <f t="shared" si="5"/>
        <v>101300</v>
      </c>
      <c r="J10" s="26">
        <f t="shared" si="6"/>
        <v>2.0124824921938581E-5</v>
      </c>
      <c r="K10" s="28">
        <v>33.831683168316836</v>
      </c>
      <c r="L10" s="27">
        <f t="shared" si="7"/>
        <v>3.3831683168316834E-5</v>
      </c>
      <c r="M10" s="29">
        <f t="shared" si="8"/>
        <v>4.7762865441819992E-3</v>
      </c>
      <c r="N10" s="27">
        <f t="shared" si="9"/>
        <v>1.4254938314080528E-7</v>
      </c>
      <c r="O10" s="21">
        <f t="shared" si="10"/>
        <v>2.032E-3</v>
      </c>
      <c r="P10" s="21">
        <v>7.0840480334740597E-11</v>
      </c>
      <c r="Q10" s="2">
        <v>0.31</v>
      </c>
      <c r="R10" s="27">
        <f t="shared" si="11"/>
        <v>131000</v>
      </c>
      <c r="S10" s="2">
        <f t="shared" si="12"/>
        <v>5.1940208761751296E-3</v>
      </c>
      <c r="T10" s="11">
        <v>0.1</v>
      </c>
      <c r="U10" s="30">
        <f t="shared" si="13"/>
        <v>110000.00000000001</v>
      </c>
      <c r="V10" s="30">
        <f t="shared" si="1"/>
        <v>3.7214851485148523</v>
      </c>
      <c r="W10" s="11">
        <f t="shared" si="14"/>
        <v>36.216626028737245</v>
      </c>
      <c r="X10" s="2">
        <f t="shared" si="15"/>
        <v>5.6535055176665217E-15</v>
      </c>
      <c r="Y10" s="2">
        <f t="shared" si="16"/>
        <v>3404541022.7387795</v>
      </c>
    </row>
    <row r="11" spans="1:25" x14ac:dyDescent="0.3">
      <c r="A11" s="26">
        <v>27</v>
      </c>
      <c r="B11" s="26">
        <f t="shared" si="2"/>
        <v>0.45</v>
      </c>
      <c r="C11" s="26">
        <v>20</v>
      </c>
      <c r="D11" s="26">
        <f t="shared" si="0"/>
        <v>29.146000000000001</v>
      </c>
      <c r="E11" s="26">
        <f t="shared" si="3"/>
        <v>4.8576666666666667E-7</v>
      </c>
      <c r="F11" s="26">
        <v>21.1</v>
      </c>
      <c r="G11" s="26">
        <f t="shared" si="4"/>
        <v>294.10000000000002</v>
      </c>
      <c r="H11" s="26">
        <v>101.3</v>
      </c>
      <c r="I11" s="26">
        <f t="shared" si="5"/>
        <v>101300</v>
      </c>
      <c r="J11" s="26">
        <f t="shared" si="6"/>
        <v>2.0124824921938581E-5</v>
      </c>
      <c r="K11" s="28">
        <v>43.361386138613867</v>
      </c>
      <c r="L11" s="27">
        <f t="shared" si="7"/>
        <v>4.3361386138613868E-5</v>
      </c>
      <c r="M11" s="29">
        <f t="shared" si="8"/>
        <v>4.7762865441819992E-3</v>
      </c>
      <c r="N11" s="27">
        <f t="shared" si="9"/>
        <v>1.8270267002199497E-7</v>
      </c>
      <c r="O11" s="21">
        <f t="shared" si="10"/>
        <v>2.032E-3</v>
      </c>
      <c r="P11" s="21">
        <v>7.0840480334740597E-11</v>
      </c>
      <c r="Q11" s="2">
        <v>0.31</v>
      </c>
      <c r="R11" s="27">
        <f t="shared" si="11"/>
        <v>131000</v>
      </c>
      <c r="S11" s="2">
        <f t="shared" si="12"/>
        <v>5.1940208761751296E-3</v>
      </c>
      <c r="T11" s="11">
        <v>0.1</v>
      </c>
      <c r="U11" s="30">
        <f t="shared" si="13"/>
        <v>110000.00000000001</v>
      </c>
      <c r="V11" s="30">
        <f t="shared" si="1"/>
        <v>4.7697524752475262</v>
      </c>
      <c r="W11" s="11">
        <f t="shared" si="14"/>
        <v>55.125424109086921</v>
      </c>
      <c r="X11" s="2">
        <f t="shared" si="15"/>
        <v>7.2470303652640819E-15</v>
      </c>
      <c r="Y11" s="2">
        <f t="shared" si="16"/>
        <v>4364161685.9620304</v>
      </c>
    </row>
    <row r="12" spans="1:25" x14ac:dyDescent="0.3">
      <c r="A12" s="26">
        <v>30</v>
      </c>
      <c r="B12" s="26">
        <f t="shared" si="2"/>
        <v>0.5</v>
      </c>
      <c r="C12" s="26">
        <v>20</v>
      </c>
      <c r="D12" s="26">
        <f t="shared" si="0"/>
        <v>29.146000000000001</v>
      </c>
      <c r="E12" s="26">
        <f t="shared" si="3"/>
        <v>4.8576666666666667E-7</v>
      </c>
      <c r="F12" s="26">
        <v>21.1</v>
      </c>
      <c r="G12" s="26">
        <f t="shared" si="4"/>
        <v>294.10000000000002</v>
      </c>
      <c r="H12" s="26">
        <v>101.3</v>
      </c>
      <c r="I12" s="26">
        <f t="shared" si="5"/>
        <v>101300</v>
      </c>
      <c r="J12" s="26">
        <f t="shared" si="6"/>
        <v>2.0124824921938581E-5</v>
      </c>
      <c r="K12" s="28">
        <v>55.910891089108908</v>
      </c>
      <c r="L12" s="27">
        <f t="shared" si="7"/>
        <v>5.5910891089108905E-5</v>
      </c>
      <c r="M12" s="29">
        <f t="shared" si="8"/>
        <v>4.7762865441819992E-3</v>
      </c>
      <c r="N12" s="27">
        <f t="shared" si="9"/>
        <v>2.3557985560319794E-7</v>
      </c>
      <c r="O12" s="21">
        <f t="shared" si="10"/>
        <v>2.032E-3</v>
      </c>
      <c r="P12" s="21">
        <v>7.0840480334740597E-11</v>
      </c>
      <c r="Q12" s="2">
        <v>0.31</v>
      </c>
      <c r="R12" s="27">
        <f t="shared" si="11"/>
        <v>131000</v>
      </c>
      <c r="S12" s="2">
        <f t="shared" si="12"/>
        <v>5.1940208761751296E-3</v>
      </c>
      <c r="T12" s="11">
        <v>0.1</v>
      </c>
      <c r="U12" s="30">
        <f t="shared" si="13"/>
        <v>110000.00000000001</v>
      </c>
      <c r="V12" s="30">
        <f t="shared" si="1"/>
        <v>6.1501980198019801</v>
      </c>
      <c r="W12" s="11">
        <f t="shared" si="14"/>
        <v>85.329016307265931</v>
      </c>
      <c r="X12" s="2">
        <f t="shared" si="15"/>
        <v>9.3465971293755911E-15</v>
      </c>
      <c r="Y12" s="2">
        <f t="shared" si="16"/>
        <v>5628520791.3099813</v>
      </c>
    </row>
    <row r="13" spans="1:25" x14ac:dyDescent="0.3">
      <c r="A13" s="26">
        <v>33</v>
      </c>
      <c r="B13" s="26">
        <f t="shared" si="2"/>
        <v>0.55000000000000004</v>
      </c>
      <c r="C13" s="26">
        <v>20</v>
      </c>
      <c r="D13" s="26">
        <f t="shared" si="0"/>
        <v>29.146000000000001</v>
      </c>
      <c r="E13" s="26">
        <f t="shared" si="3"/>
        <v>4.8576666666666667E-7</v>
      </c>
      <c r="F13" s="26">
        <v>21.1</v>
      </c>
      <c r="G13" s="26">
        <f t="shared" si="4"/>
        <v>294.10000000000002</v>
      </c>
      <c r="H13" s="26">
        <v>101.3</v>
      </c>
      <c r="I13" s="26">
        <f t="shared" si="5"/>
        <v>101300</v>
      </c>
      <c r="J13" s="26">
        <f t="shared" si="6"/>
        <v>2.0124824921938581E-5</v>
      </c>
      <c r="K13" s="28">
        <v>75.39108910891089</v>
      </c>
      <c r="L13" s="27">
        <f t="shared" si="7"/>
        <v>7.5391089108910894E-5</v>
      </c>
      <c r="M13" s="29">
        <f t="shared" si="8"/>
        <v>4.7762865441819992E-3</v>
      </c>
      <c r="N13" s="27">
        <f t="shared" si="9"/>
        <v>3.17659431643448E-7</v>
      </c>
      <c r="O13" s="21">
        <f t="shared" si="10"/>
        <v>2.032E-3</v>
      </c>
      <c r="P13" s="21">
        <v>7.0840480334740597E-11</v>
      </c>
      <c r="Q13" s="2">
        <v>0.31</v>
      </c>
      <c r="R13" s="27">
        <f t="shared" si="11"/>
        <v>131000</v>
      </c>
      <c r="S13" s="2">
        <f t="shared" si="12"/>
        <v>5.1940208761751296E-3</v>
      </c>
      <c r="T13" s="11">
        <v>0.1</v>
      </c>
      <c r="U13" s="30">
        <f t="shared" si="13"/>
        <v>110000.00000000001</v>
      </c>
      <c r="V13" s="30">
        <f t="shared" si="1"/>
        <v>8.2930198019801988</v>
      </c>
      <c r="W13" s="11">
        <f t="shared" si="14"/>
        <v>143.79741060292616</v>
      </c>
      <c r="X13" s="2">
        <f t="shared" si="15"/>
        <v>1.2608723826773228E-14</v>
      </c>
      <c r="Y13" s="2">
        <f t="shared" si="16"/>
        <v>7592973488.4828386</v>
      </c>
    </row>
    <row r="14" spans="1:25" x14ac:dyDescent="0.3">
      <c r="A14" s="26">
        <v>36</v>
      </c>
      <c r="B14" s="26">
        <f t="shared" si="2"/>
        <v>0.6</v>
      </c>
      <c r="C14" s="26">
        <v>20</v>
      </c>
      <c r="D14" s="26">
        <f t="shared" si="0"/>
        <v>29.146000000000001</v>
      </c>
      <c r="E14" s="26">
        <f t="shared" si="3"/>
        <v>4.8576666666666667E-7</v>
      </c>
      <c r="F14" s="26">
        <v>21.1</v>
      </c>
      <c r="G14" s="26">
        <f t="shared" si="4"/>
        <v>294.10000000000002</v>
      </c>
      <c r="H14" s="26">
        <v>101.3</v>
      </c>
      <c r="I14" s="26">
        <f t="shared" si="5"/>
        <v>101300</v>
      </c>
      <c r="J14" s="26">
        <f t="shared" si="6"/>
        <v>2.0124824921938581E-5</v>
      </c>
      <c r="K14" s="28">
        <v>83.485148514851488</v>
      </c>
      <c r="L14" s="27">
        <f t="shared" si="7"/>
        <v>8.348514851485149E-5</v>
      </c>
      <c r="M14" s="29">
        <f t="shared" si="8"/>
        <v>4.7762865441819992E-3</v>
      </c>
      <c r="N14" s="27">
        <f t="shared" si="9"/>
        <v>3.5176365192954934E-7</v>
      </c>
      <c r="O14" s="21">
        <f t="shared" si="10"/>
        <v>2.032E-3</v>
      </c>
      <c r="P14" s="21">
        <v>7.0840480334740597E-11</v>
      </c>
      <c r="Q14" s="2">
        <v>0.31</v>
      </c>
      <c r="R14" s="27">
        <f t="shared" si="11"/>
        <v>131000</v>
      </c>
      <c r="S14" s="2">
        <f t="shared" si="12"/>
        <v>5.1940208761751296E-3</v>
      </c>
      <c r="T14" s="11">
        <v>0.1</v>
      </c>
      <c r="U14" s="30">
        <f t="shared" si="13"/>
        <v>110000.00000000001</v>
      </c>
      <c r="V14" s="30">
        <f t="shared" si="1"/>
        <v>9.1833663366336644</v>
      </c>
      <c r="W14" s="11">
        <f t="shared" si="14"/>
        <v>172.14629899011206</v>
      </c>
      <c r="X14" s="2">
        <f t="shared" si="15"/>
        <v>1.3965433964675502E-14</v>
      </c>
      <c r="Y14" s="2">
        <f t="shared" si="16"/>
        <v>8409984333.5275879</v>
      </c>
    </row>
    <row r="15" spans="1:25" x14ac:dyDescent="0.3">
      <c r="A15" s="26">
        <v>39</v>
      </c>
      <c r="B15" s="26">
        <f t="shared" si="2"/>
        <v>0.65</v>
      </c>
      <c r="C15" s="26">
        <v>20</v>
      </c>
      <c r="D15" s="26">
        <f t="shared" si="0"/>
        <v>29.146000000000001</v>
      </c>
      <c r="E15" s="26">
        <f t="shared" si="3"/>
        <v>4.8576666666666667E-7</v>
      </c>
      <c r="F15" s="26">
        <v>21.1</v>
      </c>
      <c r="G15" s="26">
        <f t="shared" si="4"/>
        <v>294.10000000000002</v>
      </c>
      <c r="H15" s="26">
        <v>101.3</v>
      </c>
      <c r="I15" s="26">
        <f t="shared" si="5"/>
        <v>101300</v>
      </c>
      <c r="J15" s="26">
        <f t="shared" si="6"/>
        <v>2.0124824921938581E-5</v>
      </c>
      <c r="K15" s="28">
        <v>114.77227722772278</v>
      </c>
      <c r="L15" s="27">
        <f t="shared" si="7"/>
        <v>1.1477227722772278E-4</v>
      </c>
      <c r="M15" s="29">
        <f t="shared" si="8"/>
        <v>4.7762865441819992E-3</v>
      </c>
      <c r="N15" s="27">
        <f t="shared" si="9"/>
        <v>4.8359158600181888E-7</v>
      </c>
      <c r="O15" s="21">
        <f t="shared" si="10"/>
        <v>2.032E-3</v>
      </c>
      <c r="P15" s="21">
        <v>7.0840480334740597E-11</v>
      </c>
      <c r="Q15" s="2">
        <v>0.31</v>
      </c>
      <c r="R15" s="27">
        <f t="shared" si="11"/>
        <v>131000</v>
      </c>
      <c r="S15" s="2">
        <f t="shared" si="12"/>
        <v>5.1940208761751296E-3</v>
      </c>
      <c r="T15" s="11">
        <v>0.1</v>
      </c>
      <c r="U15" s="30">
        <f t="shared" si="13"/>
        <v>110000.00000000001</v>
      </c>
      <c r="V15" s="30">
        <f t="shared" si="1"/>
        <v>12.624950495049507</v>
      </c>
      <c r="W15" s="11">
        <f t="shared" si="14"/>
        <v>303.61603342683804</v>
      </c>
      <c r="X15" s="2">
        <f t="shared" si="15"/>
        <v>1.9218471980667045E-14</v>
      </c>
      <c r="Y15" s="2">
        <f t="shared" si="16"/>
        <v>11573363826.757694</v>
      </c>
    </row>
    <row r="16" spans="1:25" x14ac:dyDescent="0.3">
      <c r="A16" s="26">
        <v>42</v>
      </c>
      <c r="B16" s="26">
        <f t="shared" si="2"/>
        <v>0.7</v>
      </c>
      <c r="C16" s="26">
        <v>20</v>
      </c>
      <c r="D16" s="26">
        <f t="shared" si="0"/>
        <v>29.146000000000001</v>
      </c>
      <c r="E16" s="26">
        <f t="shared" si="3"/>
        <v>4.8576666666666667E-7</v>
      </c>
      <c r="F16" s="26">
        <v>21.1</v>
      </c>
      <c r="G16" s="26">
        <f t="shared" si="4"/>
        <v>294.10000000000002</v>
      </c>
      <c r="H16" s="26">
        <v>101.3</v>
      </c>
      <c r="I16" s="26">
        <f t="shared" si="5"/>
        <v>101300</v>
      </c>
      <c r="J16" s="26">
        <f t="shared" si="6"/>
        <v>2.0124824921938581E-5</v>
      </c>
      <c r="K16" s="28">
        <v>129.15346534653466</v>
      </c>
      <c r="L16" s="27">
        <f t="shared" si="7"/>
        <v>1.2915346534653465E-4</v>
      </c>
      <c r="M16" s="29">
        <f t="shared" si="8"/>
        <v>4.7762865441819992E-3</v>
      </c>
      <c r="N16" s="27">
        <f t="shared" si="9"/>
        <v>5.4418654620434132E-7</v>
      </c>
      <c r="O16" s="21">
        <f t="shared" si="10"/>
        <v>2.032E-3</v>
      </c>
      <c r="P16" s="21">
        <v>7.0840480334740597E-11</v>
      </c>
      <c r="Q16" s="2">
        <v>0.31</v>
      </c>
      <c r="R16" s="27">
        <f t="shared" si="11"/>
        <v>131000</v>
      </c>
      <c r="S16" s="2">
        <f t="shared" si="12"/>
        <v>5.1940208761751296E-3</v>
      </c>
      <c r="T16" s="11">
        <v>0.1</v>
      </c>
      <c r="U16" s="30">
        <f t="shared" si="13"/>
        <v>110000.00000000001</v>
      </c>
      <c r="V16" s="30">
        <f t="shared" si="1"/>
        <v>14.206881188118814</v>
      </c>
      <c r="W16" s="11">
        <f t="shared" si="14"/>
        <v>375.53549198861862</v>
      </c>
      <c r="X16" s="2">
        <f t="shared" si="15"/>
        <v>2.1638490861301378E-14</v>
      </c>
      <c r="Y16" s="2">
        <f t="shared" si="16"/>
        <v>13030699196.67569</v>
      </c>
    </row>
    <row r="17" spans="1:76" s="4" customFormat="1" x14ac:dyDescent="0.3">
      <c r="A17" s="26">
        <v>45</v>
      </c>
      <c r="B17" s="26">
        <f t="shared" si="2"/>
        <v>0.75</v>
      </c>
      <c r="C17" s="26">
        <v>20</v>
      </c>
      <c r="D17" s="26">
        <f t="shared" si="0"/>
        <v>29.146000000000001</v>
      </c>
      <c r="E17" s="26">
        <f t="shared" si="3"/>
        <v>4.8576666666666667E-7</v>
      </c>
      <c r="F17" s="26">
        <v>21.1</v>
      </c>
      <c r="G17" s="26">
        <f t="shared" si="4"/>
        <v>294.10000000000002</v>
      </c>
      <c r="H17" s="26">
        <v>101.3</v>
      </c>
      <c r="I17" s="26">
        <f t="shared" si="5"/>
        <v>101300</v>
      </c>
      <c r="J17" s="26">
        <f t="shared" si="6"/>
        <v>2.0124824921938581E-5</v>
      </c>
      <c r="K17" s="28">
        <v>139.77227722772278</v>
      </c>
      <c r="L17" s="27">
        <f t="shared" si="7"/>
        <v>1.3977227722772277E-4</v>
      </c>
      <c r="M17" s="29">
        <f t="shared" si="8"/>
        <v>4.7762865441819992E-3</v>
      </c>
      <c r="N17" s="27">
        <f t="shared" si="9"/>
        <v>5.8892878015766702E-7</v>
      </c>
      <c r="O17" s="21">
        <f t="shared" si="10"/>
        <v>2.032E-3</v>
      </c>
      <c r="P17" s="21">
        <v>7.0840480334740597E-11</v>
      </c>
      <c r="Q17" s="2">
        <v>0.31</v>
      </c>
      <c r="R17" s="27">
        <f t="shared" si="11"/>
        <v>131000</v>
      </c>
      <c r="S17" s="2">
        <f t="shared" si="12"/>
        <v>5.1940208761751296E-3</v>
      </c>
      <c r="T17" s="11">
        <v>0.1</v>
      </c>
      <c r="U17" s="30">
        <f t="shared" si="13"/>
        <v>110000.00000000001</v>
      </c>
      <c r="V17" s="30">
        <f t="shared" si="1"/>
        <v>15.374950495049507</v>
      </c>
      <c r="W17" s="11">
        <f t="shared" si="14"/>
        <v>433.22345165727182</v>
      </c>
      <c r="X17" s="2">
        <f t="shared" si="15"/>
        <v>2.34279229340299E-14</v>
      </c>
      <c r="Y17" s="2">
        <f t="shared" si="16"/>
        <v>14108295190.872807</v>
      </c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</row>
    <row r="18" spans="1:76" s="4" customFormat="1" x14ac:dyDescent="0.3">
      <c r="A18" s="26">
        <v>48</v>
      </c>
      <c r="B18" s="26">
        <f t="shared" si="2"/>
        <v>0.8</v>
      </c>
      <c r="C18" s="26">
        <v>20</v>
      </c>
      <c r="D18" s="26">
        <f t="shared" si="0"/>
        <v>29.146000000000001</v>
      </c>
      <c r="E18" s="26">
        <f t="shared" si="3"/>
        <v>4.8576666666666667E-7</v>
      </c>
      <c r="F18" s="26">
        <v>21.1</v>
      </c>
      <c r="G18" s="26">
        <f t="shared" si="4"/>
        <v>294.10000000000002</v>
      </c>
      <c r="H18" s="26">
        <v>101.3</v>
      </c>
      <c r="I18" s="26">
        <f t="shared" si="5"/>
        <v>101300</v>
      </c>
      <c r="J18" s="26">
        <f t="shared" si="6"/>
        <v>2.0124824921938581E-5</v>
      </c>
      <c r="K18" s="28">
        <v>167.81683168316835</v>
      </c>
      <c r="L18" s="27">
        <f t="shared" si="7"/>
        <v>1.6781683168316835E-4</v>
      </c>
      <c r="M18" s="29">
        <f t="shared" si="8"/>
        <v>4.7762865441819992E-3</v>
      </c>
      <c r="N18" s="27">
        <f t="shared" si="9"/>
        <v>7.070941672651681E-7</v>
      </c>
      <c r="O18" s="21">
        <f t="shared" si="10"/>
        <v>2.032E-3</v>
      </c>
      <c r="P18" s="21">
        <v>7.0840480334740597E-11</v>
      </c>
      <c r="Q18" s="2">
        <v>0.31</v>
      </c>
      <c r="R18" s="27">
        <f t="shared" si="11"/>
        <v>131000</v>
      </c>
      <c r="S18" s="2">
        <f t="shared" si="12"/>
        <v>5.1940208761751296E-3</v>
      </c>
      <c r="T18" s="11">
        <v>0.1</v>
      </c>
      <c r="U18" s="30">
        <f t="shared" si="13"/>
        <v>110000.00000000001</v>
      </c>
      <c r="V18" s="30">
        <f t="shared" si="1"/>
        <v>18.459851485148519</v>
      </c>
      <c r="W18" s="11">
        <f t="shared" si="14"/>
        <v>604.12224790504797</v>
      </c>
      <c r="X18" s="2">
        <f t="shared" si="15"/>
        <v>2.8165475239787224E-14</v>
      </c>
      <c r="Y18" s="2">
        <f t="shared" si="16"/>
        <v>16961249189.399868</v>
      </c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</row>
    <row r="19" spans="1:76" s="4" customFormat="1" x14ac:dyDescent="0.3">
      <c r="A19" s="26">
        <v>51</v>
      </c>
      <c r="B19" s="26">
        <f t="shared" si="2"/>
        <v>0.85</v>
      </c>
      <c r="C19" s="26">
        <v>20</v>
      </c>
      <c r="D19" s="26">
        <f t="shared" si="0"/>
        <v>29.146000000000001</v>
      </c>
      <c r="E19" s="26">
        <f t="shared" si="3"/>
        <v>4.8576666666666667E-7</v>
      </c>
      <c r="F19" s="26">
        <v>21.1</v>
      </c>
      <c r="G19" s="26">
        <f t="shared" si="4"/>
        <v>294.10000000000002</v>
      </c>
      <c r="H19" s="26">
        <v>101.3</v>
      </c>
      <c r="I19" s="26">
        <f t="shared" si="5"/>
        <v>101300</v>
      </c>
      <c r="J19" s="26">
        <f t="shared" si="6"/>
        <v>2.0124824921938581E-5</v>
      </c>
      <c r="K19" s="28">
        <v>184.32673267326734</v>
      </c>
      <c r="L19" s="27">
        <f t="shared" si="7"/>
        <v>1.8432673267326734E-4</v>
      </c>
      <c r="M19" s="29">
        <f t="shared" si="8"/>
        <v>4.7762865441819992E-3</v>
      </c>
      <c r="N19" s="27">
        <f t="shared" si="9"/>
        <v>7.7665843310868365E-7</v>
      </c>
      <c r="O19" s="21">
        <f t="shared" si="10"/>
        <v>2.032E-3</v>
      </c>
      <c r="P19" s="21">
        <v>7.0840480334740597E-11</v>
      </c>
      <c r="Q19" s="2">
        <v>0.31</v>
      </c>
      <c r="R19" s="27">
        <f t="shared" si="11"/>
        <v>131000</v>
      </c>
      <c r="S19" s="2">
        <f t="shared" si="12"/>
        <v>5.1940208761751296E-3</v>
      </c>
      <c r="T19" s="11">
        <v>0.1</v>
      </c>
      <c r="U19" s="30">
        <f t="shared" si="13"/>
        <v>110000.00000000001</v>
      </c>
      <c r="V19" s="30">
        <f t="shared" si="1"/>
        <v>20.27594059405941</v>
      </c>
      <c r="W19" s="11">
        <f t="shared" si="14"/>
        <v>717.20480616057932</v>
      </c>
      <c r="X19" s="2">
        <f t="shared" si="15"/>
        <v>3.0963260415330112E-14</v>
      </c>
      <c r="Y19" s="2">
        <f t="shared" si="16"/>
        <v>18646075422.111794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</row>
    <row r="20" spans="1:76" s="4" customFormat="1" x14ac:dyDescent="0.3">
      <c r="A20" s="26">
        <v>54</v>
      </c>
      <c r="B20" s="26">
        <f t="shared" si="2"/>
        <v>0.9</v>
      </c>
      <c r="C20" s="26">
        <v>20</v>
      </c>
      <c r="D20" s="26">
        <f t="shared" si="0"/>
        <v>29.146000000000001</v>
      </c>
      <c r="E20" s="26">
        <f t="shared" si="3"/>
        <v>4.8576666666666667E-7</v>
      </c>
      <c r="F20" s="26">
        <v>21.1</v>
      </c>
      <c r="G20" s="26">
        <f t="shared" si="4"/>
        <v>294.10000000000002</v>
      </c>
      <c r="H20" s="26">
        <v>101.3</v>
      </c>
      <c r="I20" s="26">
        <f t="shared" si="5"/>
        <v>101300</v>
      </c>
      <c r="J20" s="26">
        <f t="shared" si="6"/>
        <v>2.0124824921938581E-5</v>
      </c>
      <c r="K20" s="28">
        <v>195.04455445544556</v>
      </c>
      <c r="L20" s="27">
        <f t="shared" si="7"/>
        <v>1.9504455445544557E-4</v>
      </c>
      <c r="M20" s="29">
        <f t="shared" si="8"/>
        <v>4.7762865441819992E-3</v>
      </c>
      <c r="N20" s="27">
        <f t="shared" si="9"/>
        <v>8.2181784406856726E-7</v>
      </c>
      <c r="O20" s="21">
        <f t="shared" si="10"/>
        <v>2.032E-3</v>
      </c>
      <c r="P20" s="21">
        <v>7.0840480334740597E-11</v>
      </c>
      <c r="Q20" s="2">
        <v>0.31</v>
      </c>
      <c r="R20" s="27">
        <f t="shared" si="11"/>
        <v>131000</v>
      </c>
      <c r="S20" s="2">
        <f t="shared" si="12"/>
        <v>5.1940208761751296E-3</v>
      </c>
      <c r="T20" s="11">
        <v>0.1</v>
      </c>
      <c r="U20" s="30">
        <f t="shared" si="13"/>
        <v>110000.00000000001</v>
      </c>
      <c r="V20" s="30">
        <f t="shared" si="1"/>
        <v>21.454900990099016</v>
      </c>
      <c r="W20" s="11">
        <f t="shared" si="14"/>
        <v>795.52777172850256</v>
      </c>
      <c r="X20" s="2">
        <f t="shared" si="15"/>
        <v>3.2783351949861379E-14</v>
      </c>
      <c r="Y20" s="2">
        <f t="shared" si="16"/>
        <v>19742134544.206524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</row>
    <row r="21" spans="1:76" s="4" customFormat="1" x14ac:dyDescent="0.3">
      <c r="A21" s="26">
        <v>57</v>
      </c>
      <c r="B21" s="26">
        <f t="shared" si="2"/>
        <v>0.95</v>
      </c>
      <c r="C21" s="26">
        <v>20</v>
      </c>
      <c r="D21" s="26">
        <f t="shared" si="0"/>
        <v>29.146000000000001</v>
      </c>
      <c r="E21" s="26">
        <f t="shared" si="3"/>
        <v>4.8576666666666667E-7</v>
      </c>
      <c r="F21" s="26">
        <v>21.1</v>
      </c>
      <c r="G21" s="26">
        <f t="shared" si="4"/>
        <v>294.10000000000002</v>
      </c>
      <c r="H21" s="26">
        <v>101.3</v>
      </c>
      <c r="I21" s="26">
        <f t="shared" si="5"/>
        <v>101300</v>
      </c>
      <c r="J21" s="26">
        <f t="shared" si="6"/>
        <v>2.0124824921938581E-5</v>
      </c>
      <c r="K21" s="28">
        <v>209.59900990099013</v>
      </c>
      <c r="L21" s="27">
        <f t="shared" si="7"/>
        <v>2.0959900990099011E-4</v>
      </c>
      <c r="M21" s="29">
        <f t="shared" si="8"/>
        <v>4.7762865441819992E-3</v>
      </c>
      <c r="N21" s="27">
        <f t="shared" si="9"/>
        <v>8.8314286403256589E-7</v>
      </c>
      <c r="O21" s="21">
        <f t="shared" si="10"/>
        <v>2.032E-3</v>
      </c>
      <c r="P21" s="21">
        <v>7.0840480334740597E-11</v>
      </c>
      <c r="Q21" s="2">
        <v>0.31</v>
      </c>
      <c r="R21" s="27">
        <f t="shared" si="11"/>
        <v>131000</v>
      </c>
      <c r="S21" s="2">
        <f t="shared" si="12"/>
        <v>5.1940208761751296E-3</v>
      </c>
      <c r="T21" s="11">
        <v>0.1</v>
      </c>
      <c r="U21" s="30">
        <f t="shared" si="13"/>
        <v>110000.00000000001</v>
      </c>
      <c r="V21" s="30">
        <f t="shared" si="1"/>
        <v>23.055891089108915</v>
      </c>
      <c r="W21" s="11">
        <f t="shared" si="14"/>
        <v>908.05014138543447</v>
      </c>
      <c r="X21" s="2">
        <f t="shared" si="15"/>
        <v>3.5260156200406822E-14</v>
      </c>
      <c r="Y21" s="2">
        <f t="shared" si="16"/>
        <v>21233666063.884991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</row>
    <row r="22" spans="1:76" s="4" customFormat="1" x14ac:dyDescent="0.3">
      <c r="A22" s="26">
        <v>60</v>
      </c>
      <c r="B22" s="26">
        <f t="shared" si="2"/>
        <v>1</v>
      </c>
      <c r="C22" s="26">
        <v>20</v>
      </c>
      <c r="D22" s="26">
        <f t="shared" si="0"/>
        <v>29.146000000000001</v>
      </c>
      <c r="E22" s="26">
        <f t="shared" si="3"/>
        <v>4.8576666666666667E-7</v>
      </c>
      <c r="F22" s="26">
        <v>21.1</v>
      </c>
      <c r="G22" s="26">
        <f t="shared" si="4"/>
        <v>294.10000000000002</v>
      </c>
      <c r="H22" s="26">
        <v>101.3</v>
      </c>
      <c r="I22" s="26">
        <f t="shared" si="5"/>
        <v>101300</v>
      </c>
      <c r="J22" s="26">
        <f t="shared" si="6"/>
        <v>2.0124824921938581E-5</v>
      </c>
      <c r="K22" s="28">
        <v>232.14851485148515</v>
      </c>
      <c r="L22" s="27">
        <f t="shared" si="7"/>
        <v>2.3214851485148515E-4</v>
      </c>
      <c r="M22" s="29">
        <f t="shared" si="8"/>
        <v>4.7762865441819992E-3</v>
      </c>
      <c r="N22" s="27">
        <f t="shared" si="9"/>
        <v>9.7815492727610806E-7</v>
      </c>
      <c r="O22" s="21">
        <f t="shared" si="10"/>
        <v>2.032E-3</v>
      </c>
      <c r="P22" s="21">
        <v>7.0840480334740597E-11</v>
      </c>
      <c r="Q22" s="2">
        <v>0.31</v>
      </c>
      <c r="R22" s="27">
        <f t="shared" si="11"/>
        <v>131000</v>
      </c>
      <c r="S22" s="2">
        <f t="shared" si="12"/>
        <v>5.1940208761751296E-3</v>
      </c>
      <c r="T22" s="11">
        <v>0.1</v>
      </c>
      <c r="U22" s="30">
        <f t="shared" si="13"/>
        <v>110000.00000000001</v>
      </c>
      <c r="V22" s="30">
        <f t="shared" si="1"/>
        <v>25.536336633663371</v>
      </c>
      <c r="W22" s="11">
        <f t="shared" si="14"/>
        <v>1096.3320970340578</v>
      </c>
      <c r="X22" s="2">
        <f t="shared" si="15"/>
        <v>3.9110189838524736E-14</v>
      </c>
      <c r="Y22" s="2">
        <f t="shared" si="16"/>
        <v>23552156320.759598</v>
      </c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</row>
    <row r="23" spans="1:76" s="4" customFormat="1" x14ac:dyDescent="0.3">
      <c r="A23" s="26">
        <v>63</v>
      </c>
      <c r="B23" s="26">
        <f t="shared" si="2"/>
        <v>1.05</v>
      </c>
      <c r="C23" s="26">
        <v>20</v>
      </c>
      <c r="D23" s="26">
        <f t="shared" si="0"/>
        <v>29.146000000000001</v>
      </c>
      <c r="E23" s="26">
        <f t="shared" si="3"/>
        <v>4.8576666666666667E-7</v>
      </c>
      <c r="F23" s="26">
        <v>21.1</v>
      </c>
      <c r="G23" s="26">
        <f t="shared" si="4"/>
        <v>294.10000000000002</v>
      </c>
      <c r="H23" s="26">
        <v>101.3</v>
      </c>
      <c r="I23" s="26">
        <f t="shared" si="5"/>
        <v>101300</v>
      </c>
      <c r="J23" s="26">
        <f t="shared" si="6"/>
        <v>2.0124824921938581E-5</v>
      </c>
      <c r="K23" s="28">
        <v>238.48514851485149</v>
      </c>
      <c r="L23" s="27">
        <f t="shared" si="7"/>
        <v>2.3848514851485149E-4</v>
      </c>
      <c r="M23" s="29">
        <f t="shared" si="8"/>
        <v>4.7762865441819992E-3</v>
      </c>
      <c r="N23" s="27">
        <f t="shared" si="9"/>
        <v>1.0048542556958082E-6</v>
      </c>
      <c r="O23" s="21">
        <f t="shared" si="10"/>
        <v>2.032E-3</v>
      </c>
      <c r="P23" s="21">
        <v>7.0840480334740597E-11</v>
      </c>
      <c r="Q23" s="2">
        <v>0.31</v>
      </c>
      <c r="R23" s="27">
        <f t="shared" si="11"/>
        <v>131000</v>
      </c>
      <c r="S23" s="2">
        <f t="shared" si="12"/>
        <v>5.1940208761751296E-3</v>
      </c>
      <c r="T23" s="11">
        <v>0.1</v>
      </c>
      <c r="U23" s="30">
        <f t="shared" si="13"/>
        <v>110000.00000000001</v>
      </c>
      <c r="V23" s="30">
        <f t="shared" si="1"/>
        <v>26.233366336633669</v>
      </c>
      <c r="W23" s="11">
        <f t="shared" si="14"/>
        <v>1152.2804551729498</v>
      </c>
      <c r="X23" s="2">
        <f t="shared" si="15"/>
        <v>4.0195037694101544E-14</v>
      </c>
      <c r="Y23" s="2">
        <f t="shared" si="16"/>
        <v>24205451699.387951</v>
      </c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</row>
    <row r="24" spans="1:76" s="4" customFormat="1" x14ac:dyDescent="0.3">
      <c r="A24" s="26">
        <v>66</v>
      </c>
      <c r="B24" s="26">
        <f t="shared" si="2"/>
        <v>1.1000000000000001</v>
      </c>
      <c r="C24" s="26">
        <v>20</v>
      </c>
      <c r="D24" s="26">
        <f t="shared" si="0"/>
        <v>29.146000000000001</v>
      </c>
      <c r="E24" s="26">
        <f t="shared" si="3"/>
        <v>4.8576666666666667E-7</v>
      </c>
      <c r="F24" s="26">
        <v>21.1</v>
      </c>
      <c r="G24" s="26">
        <f t="shared" si="4"/>
        <v>294.10000000000002</v>
      </c>
      <c r="H24" s="26">
        <v>101.3</v>
      </c>
      <c r="I24" s="26">
        <f t="shared" si="5"/>
        <v>101300</v>
      </c>
      <c r="J24" s="26">
        <f t="shared" si="6"/>
        <v>2.0124824921938581E-5</v>
      </c>
      <c r="K24" s="28">
        <v>241.25742574257427</v>
      </c>
      <c r="L24" s="27">
        <f t="shared" si="7"/>
        <v>2.4125742574257426E-4</v>
      </c>
      <c r="M24" s="29">
        <f t="shared" si="8"/>
        <v>4.7762865441819992E-3</v>
      </c>
      <c r="N24" s="27">
        <f t="shared" si="9"/>
        <v>1.0165352118794272E-6</v>
      </c>
      <c r="O24" s="21">
        <f t="shared" si="10"/>
        <v>2.032E-3</v>
      </c>
      <c r="P24" s="21">
        <v>7.0840480334740597E-11</v>
      </c>
      <c r="Q24" s="2">
        <v>0.31</v>
      </c>
      <c r="R24" s="27">
        <f t="shared" si="11"/>
        <v>131000</v>
      </c>
      <c r="S24" s="2">
        <f t="shared" si="12"/>
        <v>5.1940208761751296E-3</v>
      </c>
      <c r="T24" s="11">
        <v>0.1</v>
      </c>
      <c r="U24" s="30">
        <f t="shared" si="13"/>
        <v>110000.00000000001</v>
      </c>
      <c r="V24" s="30">
        <f t="shared" si="1"/>
        <v>26.538316831683172</v>
      </c>
      <c r="W24" s="11">
        <f t="shared" si="14"/>
        <v>1177.1760142248088</v>
      </c>
      <c r="X24" s="2">
        <f t="shared" si="15"/>
        <v>4.0670083655300685E-14</v>
      </c>
      <c r="Y24" s="2">
        <f t="shared" si="16"/>
        <v>24491524377.222073</v>
      </c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</row>
    <row r="25" spans="1:76" s="4" customFormat="1" x14ac:dyDescent="0.3">
      <c r="A25" s="26">
        <v>69</v>
      </c>
      <c r="B25" s="26">
        <f t="shared" si="2"/>
        <v>1.1499999999999999</v>
      </c>
      <c r="C25" s="26">
        <v>20</v>
      </c>
      <c r="D25" s="26">
        <f t="shared" si="0"/>
        <v>29.146000000000001</v>
      </c>
      <c r="E25" s="26">
        <f t="shared" si="3"/>
        <v>4.8576666666666667E-7</v>
      </c>
      <c r="F25" s="26">
        <v>21.1</v>
      </c>
      <c r="G25" s="26">
        <f t="shared" si="4"/>
        <v>294.10000000000002</v>
      </c>
      <c r="H25" s="26">
        <v>101.3</v>
      </c>
      <c r="I25" s="26">
        <f t="shared" si="5"/>
        <v>101300</v>
      </c>
      <c r="J25" s="26">
        <f t="shared" si="6"/>
        <v>2.0124824921938581E-5</v>
      </c>
      <c r="K25" s="28">
        <v>250.21782178217825</v>
      </c>
      <c r="L25" s="27">
        <f t="shared" si="7"/>
        <v>2.5021782178217823E-4</v>
      </c>
      <c r="M25" s="29">
        <f t="shared" si="8"/>
        <v>4.7762865441819992E-3</v>
      </c>
      <c r="N25" s="27">
        <f t="shared" si="9"/>
        <v>1.0542897309729093E-6</v>
      </c>
      <c r="O25" s="21">
        <f t="shared" si="10"/>
        <v>2.032E-3</v>
      </c>
      <c r="P25" s="21">
        <v>7.0840480334740597E-11</v>
      </c>
      <c r="Q25" s="2">
        <v>0.31</v>
      </c>
      <c r="R25" s="27">
        <f t="shared" si="11"/>
        <v>131000</v>
      </c>
      <c r="S25" s="2">
        <f t="shared" si="12"/>
        <v>5.1940208761751296E-3</v>
      </c>
      <c r="T25" s="11">
        <v>0.1</v>
      </c>
      <c r="U25" s="30">
        <f t="shared" si="13"/>
        <v>110000.00000000001</v>
      </c>
      <c r="V25" s="30">
        <f t="shared" si="1"/>
        <v>27.523960396039609</v>
      </c>
      <c r="W25" s="11">
        <f t="shared" si="14"/>
        <v>1259.3802923722515</v>
      </c>
      <c r="X25" s="2">
        <f t="shared" si="15"/>
        <v>4.2207312440395297E-14</v>
      </c>
      <c r="Y25" s="2">
        <f t="shared" si="16"/>
        <v>25417243551.606049</v>
      </c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</row>
    <row r="26" spans="1:76" s="4" customFormat="1" x14ac:dyDescent="0.3">
      <c r="A26" s="26">
        <v>72</v>
      </c>
      <c r="B26" s="26">
        <f t="shared" si="2"/>
        <v>1.2</v>
      </c>
      <c r="C26" s="26">
        <v>20</v>
      </c>
      <c r="D26" s="26">
        <f t="shared" si="0"/>
        <v>29.146000000000001</v>
      </c>
      <c r="E26" s="26">
        <f t="shared" si="3"/>
        <v>4.8576666666666667E-7</v>
      </c>
      <c r="F26" s="26">
        <v>21.1</v>
      </c>
      <c r="G26" s="26">
        <f t="shared" si="4"/>
        <v>294.10000000000002</v>
      </c>
      <c r="H26" s="26">
        <v>101.3</v>
      </c>
      <c r="I26" s="26">
        <f t="shared" si="5"/>
        <v>101300</v>
      </c>
      <c r="J26" s="26">
        <f t="shared" si="6"/>
        <v>2.0124824921938581E-5</v>
      </c>
      <c r="K26" s="28">
        <v>256.92574257425747</v>
      </c>
      <c r="L26" s="27">
        <f t="shared" si="7"/>
        <v>2.5692574257425748E-4</v>
      </c>
      <c r="M26" s="29">
        <f t="shared" si="8"/>
        <v>4.7762865441819992E-3</v>
      </c>
      <c r="N26" s="27">
        <f t="shared" si="9"/>
        <v>1.0825534731672015E-6</v>
      </c>
      <c r="O26" s="21">
        <f t="shared" si="10"/>
        <v>2.032E-3</v>
      </c>
      <c r="P26" s="21">
        <v>7.0840480334740597E-11</v>
      </c>
      <c r="Q26" s="2">
        <v>0.31</v>
      </c>
      <c r="R26" s="27">
        <f t="shared" si="11"/>
        <v>131000</v>
      </c>
      <c r="S26" s="2">
        <f t="shared" si="12"/>
        <v>5.1940208761751296E-3</v>
      </c>
      <c r="T26" s="11">
        <v>0.1</v>
      </c>
      <c r="U26" s="30">
        <f t="shared" si="13"/>
        <v>110000.00000000001</v>
      </c>
      <c r="V26" s="30">
        <f t="shared" si="1"/>
        <v>28.261831683168328</v>
      </c>
      <c r="W26" s="11">
        <f t="shared" si="14"/>
        <v>1322.6552713415374</v>
      </c>
      <c r="X26" s="2">
        <f t="shared" si="15"/>
        <v>4.3359966623095939E-14</v>
      </c>
      <c r="Y26" s="2">
        <f t="shared" si="16"/>
        <v>26111371900.428375</v>
      </c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</row>
    <row r="27" spans="1:76" s="4" customFormat="1" x14ac:dyDescent="0.3">
      <c r="A27" s="26">
        <v>75</v>
      </c>
      <c r="B27" s="26">
        <f t="shared" si="2"/>
        <v>1.25</v>
      </c>
      <c r="C27" s="26">
        <v>20</v>
      </c>
      <c r="D27" s="26">
        <f t="shared" si="0"/>
        <v>29.146000000000001</v>
      </c>
      <c r="E27" s="26">
        <f t="shared" si="3"/>
        <v>4.8576666666666667E-7</v>
      </c>
      <c r="F27" s="26">
        <v>21.1</v>
      </c>
      <c r="G27" s="26">
        <f t="shared" si="4"/>
        <v>294.10000000000002</v>
      </c>
      <c r="H27" s="26">
        <v>101.3</v>
      </c>
      <c r="I27" s="26">
        <f t="shared" si="5"/>
        <v>101300</v>
      </c>
      <c r="J27" s="26">
        <f t="shared" si="6"/>
        <v>2.0124824921938581E-5</v>
      </c>
      <c r="K27" s="28">
        <v>263.23762376237624</v>
      </c>
      <c r="L27" s="27">
        <f t="shared" si="7"/>
        <v>2.6323762376237626E-4</v>
      </c>
      <c r="M27" s="29">
        <f t="shared" si="8"/>
        <v>4.7762865441819992E-3</v>
      </c>
      <c r="N27" s="27">
        <f t="shared" si="9"/>
        <v>1.109148507335262E-6</v>
      </c>
      <c r="O27" s="21">
        <f t="shared" si="10"/>
        <v>2.032E-3</v>
      </c>
      <c r="P27" s="21">
        <v>7.0840480334740597E-11</v>
      </c>
      <c r="Q27" s="2">
        <v>0.31</v>
      </c>
      <c r="R27" s="27">
        <f t="shared" si="11"/>
        <v>131000</v>
      </c>
      <c r="S27" s="2">
        <f t="shared" si="12"/>
        <v>5.1940208761751296E-3</v>
      </c>
      <c r="T27" s="11">
        <v>0.1</v>
      </c>
      <c r="U27" s="30">
        <f t="shared" si="13"/>
        <v>110000.00000000001</v>
      </c>
      <c r="V27" s="30">
        <f t="shared" si="1"/>
        <v>28.956138613861391</v>
      </c>
      <c r="W27" s="11">
        <f t="shared" si="14"/>
        <v>1383.549052970061</v>
      </c>
      <c r="X27" s="2">
        <f t="shared" si="15"/>
        <v>4.4446059584150666E-14</v>
      </c>
      <c r="Y27" s="2">
        <f t="shared" si="16"/>
        <v>26765417081.575531</v>
      </c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</row>
    <row r="28" spans="1:76" s="4" customFormat="1" x14ac:dyDescent="0.3">
      <c r="A28" s="26">
        <v>78</v>
      </c>
      <c r="B28" s="26">
        <f t="shared" si="2"/>
        <v>1.3</v>
      </c>
      <c r="C28" s="26">
        <v>20</v>
      </c>
      <c r="D28" s="26">
        <f t="shared" si="0"/>
        <v>29.146000000000001</v>
      </c>
      <c r="E28" s="26">
        <f t="shared" si="3"/>
        <v>4.8576666666666667E-7</v>
      </c>
      <c r="F28" s="26">
        <v>21.1</v>
      </c>
      <c r="G28" s="26">
        <f t="shared" si="4"/>
        <v>294.10000000000002</v>
      </c>
      <c r="H28" s="26">
        <v>101.3</v>
      </c>
      <c r="I28" s="26">
        <f t="shared" si="5"/>
        <v>101300</v>
      </c>
      <c r="J28" s="26">
        <f t="shared" si="6"/>
        <v>2.0124824921938581E-5</v>
      </c>
      <c r="K28" s="28">
        <v>278.28712871287132</v>
      </c>
      <c r="L28" s="27">
        <f t="shared" si="7"/>
        <v>2.7828712871287131E-4</v>
      </c>
      <c r="M28" s="29">
        <f t="shared" si="8"/>
        <v>4.7762865441819992E-3</v>
      </c>
      <c r="N28" s="27">
        <f t="shared" si="9"/>
        <v>1.1725594123320498E-6</v>
      </c>
      <c r="O28" s="21">
        <f t="shared" si="10"/>
        <v>2.032E-3</v>
      </c>
      <c r="P28" s="21">
        <v>7.0840480334740597E-11</v>
      </c>
      <c r="Q28" s="2">
        <v>0.31</v>
      </c>
      <c r="R28" s="27">
        <f t="shared" si="11"/>
        <v>131000</v>
      </c>
      <c r="S28" s="2">
        <f t="shared" si="12"/>
        <v>5.1940208761751296E-3</v>
      </c>
      <c r="T28" s="11">
        <v>0.1</v>
      </c>
      <c r="U28" s="30">
        <f t="shared" si="13"/>
        <v>110000.00000000001</v>
      </c>
      <c r="V28" s="30">
        <f t="shared" si="1"/>
        <v>30.611584158415848</v>
      </c>
      <c r="W28" s="11">
        <f t="shared" si="14"/>
        <v>1534.0273226058302</v>
      </c>
      <c r="X28" s="2">
        <f t="shared" si="15"/>
        <v>4.7041689335500006E-14</v>
      </c>
      <c r="Y28" s="2">
        <f t="shared" si="16"/>
        <v>28328505317.838104</v>
      </c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</row>
    <row r="29" spans="1:76" s="4" customFormat="1" x14ac:dyDescent="0.3">
      <c r="A29" s="26">
        <v>81</v>
      </c>
      <c r="B29" s="26">
        <f t="shared" si="2"/>
        <v>1.35</v>
      </c>
      <c r="C29" s="26">
        <v>20</v>
      </c>
      <c r="D29" s="26">
        <f t="shared" si="0"/>
        <v>29.146000000000001</v>
      </c>
      <c r="E29" s="26">
        <f t="shared" si="3"/>
        <v>4.8576666666666667E-7</v>
      </c>
      <c r="F29" s="26">
        <v>21.1</v>
      </c>
      <c r="G29" s="26">
        <f t="shared" si="4"/>
        <v>294.10000000000002</v>
      </c>
      <c r="H29" s="26">
        <v>101.3</v>
      </c>
      <c r="I29" s="26">
        <f t="shared" si="5"/>
        <v>101300</v>
      </c>
      <c r="J29" s="26">
        <f t="shared" si="6"/>
        <v>2.0124824921938581E-5</v>
      </c>
      <c r="K29" s="28">
        <v>283.980198019802</v>
      </c>
      <c r="L29" s="27">
        <f t="shared" si="7"/>
        <v>2.8398019801980203E-4</v>
      </c>
      <c r="M29" s="29">
        <f t="shared" si="8"/>
        <v>4.7762865441819992E-3</v>
      </c>
      <c r="N29" s="27">
        <f t="shared" si="9"/>
        <v>1.1965470902091244E-6</v>
      </c>
      <c r="O29" s="21">
        <f t="shared" si="10"/>
        <v>2.032E-3</v>
      </c>
      <c r="P29" s="21">
        <v>7.0840480334740597E-11</v>
      </c>
      <c r="Q29" s="2">
        <v>0.31</v>
      </c>
      <c r="R29" s="27">
        <f t="shared" si="11"/>
        <v>131000</v>
      </c>
      <c r="S29" s="2">
        <f t="shared" si="12"/>
        <v>5.1940208761751296E-3</v>
      </c>
      <c r="T29" s="11">
        <v>0.1</v>
      </c>
      <c r="U29" s="30">
        <f t="shared" si="13"/>
        <v>110000.00000000001</v>
      </c>
      <c r="V29" s="30">
        <f t="shared" si="1"/>
        <v>31.237821782178226</v>
      </c>
      <c r="W29" s="11">
        <f t="shared" si="14"/>
        <v>1592.8906589924204</v>
      </c>
      <c r="X29" s="2">
        <f t="shared" si="15"/>
        <v>4.8025882020868023E-14</v>
      </c>
      <c r="Y29" s="2">
        <f t="shared" si="16"/>
        <v>28921186152.966724</v>
      </c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</row>
    <row r="30" spans="1:76" s="4" customFormat="1" x14ac:dyDescent="0.3">
      <c r="A30" s="26">
        <v>84</v>
      </c>
      <c r="B30" s="26">
        <f t="shared" si="2"/>
        <v>1.4</v>
      </c>
      <c r="C30" s="26">
        <v>20</v>
      </c>
      <c r="D30" s="26">
        <f t="shared" si="0"/>
        <v>29.146000000000001</v>
      </c>
      <c r="E30" s="26">
        <f t="shared" si="3"/>
        <v>4.8576666666666667E-7</v>
      </c>
      <c r="F30" s="26">
        <v>21.1</v>
      </c>
      <c r="G30" s="26">
        <f t="shared" si="4"/>
        <v>294.10000000000002</v>
      </c>
      <c r="H30" s="26">
        <v>101.3</v>
      </c>
      <c r="I30" s="26">
        <f t="shared" si="5"/>
        <v>101300</v>
      </c>
      <c r="J30" s="26">
        <f t="shared" si="6"/>
        <v>2.0124824921938581E-5</v>
      </c>
      <c r="K30" s="28">
        <v>298.26237623762381</v>
      </c>
      <c r="L30" s="27">
        <f t="shared" si="7"/>
        <v>2.9826237623762383E-4</v>
      </c>
      <c r="M30" s="29">
        <f t="shared" si="8"/>
        <v>4.7762865441819992E-3</v>
      </c>
      <c r="N30" s="27">
        <f t="shared" si="9"/>
        <v>1.2567248734050892E-6</v>
      </c>
      <c r="O30" s="21">
        <f t="shared" si="10"/>
        <v>2.032E-3</v>
      </c>
      <c r="P30" s="21">
        <v>7.0840480334740597E-11</v>
      </c>
      <c r="Q30" s="2">
        <v>0.31</v>
      </c>
      <c r="R30" s="27">
        <f t="shared" si="11"/>
        <v>131000</v>
      </c>
      <c r="S30" s="2">
        <f t="shared" si="12"/>
        <v>5.1940208761751296E-3</v>
      </c>
      <c r="T30" s="11">
        <v>0.1</v>
      </c>
      <c r="U30" s="30">
        <f t="shared" si="13"/>
        <v>110000.00000000001</v>
      </c>
      <c r="V30" s="30">
        <f t="shared" si="1"/>
        <v>32.808861386138624</v>
      </c>
      <c r="W30" s="11">
        <f t="shared" si="14"/>
        <v>1745.2346073023496</v>
      </c>
      <c r="X30" s="2">
        <f t="shared" si="15"/>
        <v>5.0500693016950489E-14</v>
      </c>
      <c r="Y30" s="2">
        <f t="shared" si="16"/>
        <v>30411517334.807587</v>
      </c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</row>
    <row r="31" spans="1:76" s="4" customFormat="1" x14ac:dyDescent="0.3">
      <c r="A31" s="26">
        <v>87</v>
      </c>
      <c r="B31" s="26">
        <f t="shared" si="2"/>
        <v>1.45</v>
      </c>
      <c r="C31" s="26">
        <v>20</v>
      </c>
      <c r="D31" s="26">
        <f t="shared" si="0"/>
        <v>29.146000000000001</v>
      </c>
      <c r="E31" s="26">
        <f t="shared" si="3"/>
        <v>4.8576666666666667E-7</v>
      </c>
      <c r="F31" s="26">
        <v>21.1</v>
      </c>
      <c r="G31" s="26">
        <f t="shared" si="4"/>
        <v>294.10000000000002</v>
      </c>
      <c r="H31" s="26">
        <v>101.3</v>
      </c>
      <c r="I31" s="26">
        <f t="shared" si="5"/>
        <v>101300</v>
      </c>
      <c r="J31" s="26">
        <f t="shared" si="6"/>
        <v>2.0124824921938581E-5</v>
      </c>
      <c r="K31" s="28">
        <v>296.20792079207922</v>
      </c>
      <c r="L31" s="27">
        <f t="shared" si="7"/>
        <v>2.9620792079207924E-4</v>
      </c>
      <c r="M31" s="29">
        <f t="shared" si="8"/>
        <v>4.7762865441819992E-3</v>
      </c>
      <c r="N31" s="27">
        <f t="shared" si="9"/>
        <v>1.2480684505190144E-6</v>
      </c>
      <c r="O31" s="21">
        <f t="shared" si="10"/>
        <v>2.032E-3</v>
      </c>
      <c r="P31" s="21">
        <v>7.0840480334740597E-11</v>
      </c>
      <c r="Q31" s="2">
        <v>0.31</v>
      </c>
      <c r="R31" s="27">
        <f t="shared" si="11"/>
        <v>131000</v>
      </c>
      <c r="S31" s="2">
        <f t="shared" si="12"/>
        <v>5.1940208761751296E-3</v>
      </c>
      <c r="T31" s="11">
        <v>0.1</v>
      </c>
      <c r="U31" s="30">
        <f t="shared" si="13"/>
        <v>110000.00000000001</v>
      </c>
      <c r="V31" s="30">
        <f t="shared" si="1"/>
        <v>32.582871287128718</v>
      </c>
      <c r="W31" s="11">
        <f t="shared" si="14"/>
        <v>1722.909223181462</v>
      </c>
      <c r="X31" s="2">
        <f t="shared" si="15"/>
        <v>5.0144179049345705E-14</v>
      </c>
      <c r="Y31" s="2">
        <f t="shared" si="16"/>
        <v>30196824623.515984</v>
      </c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</row>
    <row r="32" spans="1:76" s="4" customFormat="1" x14ac:dyDescent="0.3">
      <c r="A32" s="26">
        <v>90</v>
      </c>
      <c r="B32" s="26">
        <f t="shared" si="2"/>
        <v>1.5</v>
      </c>
      <c r="C32" s="26">
        <v>20</v>
      </c>
      <c r="D32" s="26">
        <f t="shared" si="0"/>
        <v>29.146000000000001</v>
      </c>
      <c r="E32" s="26">
        <f t="shared" si="3"/>
        <v>4.8576666666666667E-7</v>
      </c>
      <c r="F32" s="26">
        <v>21.1</v>
      </c>
      <c r="G32" s="26">
        <f t="shared" si="4"/>
        <v>294.10000000000002</v>
      </c>
      <c r="H32" s="26">
        <v>101.3</v>
      </c>
      <c r="I32" s="26">
        <f t="shared" si="5"/>
        <v>101300</v>
      </c>
      <c r="J32" s="26">
        <f t="shared" si="6"/>
        <v>2.0124824921938581E-5</v>
      </c>
      <c r="K32" s="28">
        <v>293.06435643564356</v>
      </c>
      <c r="L32" s="27">
        <f t="shared" si="7"/>
        <v>2.9306435643564359E-4</v>
      </c>
      <c r="M32" s="29">
        <f t="shared" si="8"/>
        <v>4.7762865441819992E-3</v>
      </c>
      <c r="N32" s="27">
        <f t="shared" si="9"/>
        <v>1.2348230805608037E-6</v>
      </c>
      <c r="O32" s="21">
        <f t="shared" si="10"/>
        <v>2.032E-3</v>
      </c>
      <c r="P32" s="21">
        <v>7.0840480334740597E-11</v>
      </c>
      <c r="Q32" s="2">
        <v>0.31</v>
      </c>
      <c r="R32" s="27">
        <f t="shared" si="11"/>
        <v>131000</v>
      </c>
      <c r="S32" s="2">
        <f t="shared" si="12"/>
        <v>5.1940208761751296E-3</v>
      </c>
      <c r="T32" s="11">
        <v>0.1</v>
      </c>
      <c r="U32" s="30">
        <f t="shared" si="13"/>
        <v>110000.00000000001</v>
      </c>
      <c r="V32" s="30">
        <f t="shared" si="1"/>
        <v>32.2370792079208</v>
      </c>
      <c r="W32" s="11">
        <f t="shared" si="14"/>
        <v>1689.0159432478674</v>
      </c>
      <c r="X32" s="2">
        <f t="shared" si="15"/>
        <v>4.959901052180415E-14</v>
      </c>
      <c r="Y32" s="2">
        <f t="shared" si="16"/>
        <v>29868524136.230461</v>
      </c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</row>
    <row r="33" spans="1:76" s="4" customFormat="1" x14ac:dyDescent="0.3">
      <c r="A33" s="26">
        <v>93</v>
      </c>
      <c r="B33" s="26">
        <f t="shared" si="2"/>
        <v>1.55</v>
      </c>
      <c r="C33" s="26">
        <v>20</v>
      </c>
      <c r="D33" s="26">
        <f t="shared" si="0"/>
        <v>29.146000000000001</v>
      </c>
      <c r="E33" s="26">
        <f t="shared" si="3"/>
        <v>4.8576666666666667E-7</v>
      </c>
      <c r="F33" s="26">
        <v>21.1</v>
      </c>
      <c r="G33" s="26">
        <f t="shared" si="4"/>
        <v>294.10000000000002</v>
      </c>
      <c r="H33" s="26">
        <v>101.3</v>
      </c>
      <c r="I33" s="26">
        <f t="shared" si="5"/>
        <v>101300</v>
      </c>
      <c r="J33" s="26">
        <f t="shared" si="6"/>
        <v>2.0124824921938581E-5</v>
      </c>
      <c r="K33" s="28">
        <v>318.16336633663366</v>
      </c>
      <c r="L33" s="27">
        <f t="shared" si="7"/>
        <v>3.1816336633663366E-4</v>
      </c>
      <c r="M33" s="29">
        <f t="shared" si="8"/>
        <v>4.7762865441819992E-3</v>
      </c>
      <c r="N33" s="27">
        <f t="shared" si="9"/>
        <v>1.3405774517232096E-6</v>
      </c>
      <c r="O33" s="21">
        <f t="shared" si="10"/>
        <v>2.032E-3</v>
      </c>
      <c r="P33" s="21">
        <v>7.0840480334740597E-11</v>
      </c>
      <c r="Q33" s="2">
        <v>0.31</v>
      </c>
      <c r="R33" s="27">
        <f t="shared" si="11"/>
        <v>131000</v>
      </c>
      <c r="S33" s="2">
        <f t="shared" si="12"/>
        <v>5.1940208761751296E-3</v>
      </c>
      <c r="T33" s="11">
        <v>0.1</v>
      </c>
      <c r="U33" s="30">
        <f t="shared" si="13"/>
        <v>110000.00000000001</v>
      </c>
      <c r="V33" s="30">
        <f t="shared" si="1"/>
        <v>34.99797029702971</v>
      </c>
      <c r="W33" s="11">
        <f t="shared" si="14"/>
        <v>1968.630572423989</v>
      </c>
      <c r="X33" s="2">
        <f t="shared" si="15"/>
        <v>5.3963522988789644E-14</v>
      </c>
      <c r="Y33" s="2">
        <f t="shared" si="16"/>
        <v>32496833543.849125</v>
      </c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</row>
    <row r="34" spans="1:76" s="4" customFormat="1" x14ac:dyDescent="0.3">
      <c r="A34" s="26">
        <v>96</v>
      </c>
      <c r="B34" s="26">
        <f t="shared" si="2"/>
        <v>1.6</v>
      </c>
      <c r="C34" s="26">
        <v>20</v>
      </c>
      <c r="D34" s="26">
        <f t="shared" si="0"/>
        <v>29.146000000000001</v>
      </c>
      <c r="E34" s="26">
        <f t="shared" si="3"/>
        <v>4.8576666666666667E-7</v>
      </c>
      <c r="F34" s="26">
        <v>21.1</v>
      </c>
      <c r="G34" s="26">
        <f t="shared" si="4"/>
        <v>294.10000000000002</v>
      </c>
      <c r="H34" s="26">
        <v>101.3</v>
      </c>
      <c r="I34" s="26">
        <f t="shared" si="5"/>
        <v>101300</v>
      </c>
      <c r="J34" s="26">
        <f t="shared" si="6"/>
        <v>2.0124824921938581E-5</v>
      </c>
      <c r="K34" s="28">
        <v>308.16336633663366</v>
      </c>
      <c r="L34" s="27">
        <f t="shared" si="7"/>
        <v>3.0816336633663363E-4</v>
      </c>
      <c r="M34" s="29">
        <f t="shared" si="8"/>
        <v>4.7762865441819992E-3</v>
      </c>
      <c r="N34" s="27">
        <f t="shared" si="9"/>
        <v>1.2984425740608701E-6</v>
      </c>
      <c r="O34" s="21">
        <f t="shared" si="10"/>
        <v>2.032E-3</v>
      </c>
      <c r="P34" s="21">
        <v>7.0840480334740597E-11</v>
      </c>
      <c r="Q34" s="2">
        <v>0.31</v>
      </c>
      <c r="R34" s="27">
        <f t="shared" si="11"/>
        <v>131000</v>
      </c>
      <c r="S34" s="2">
        <f t="shared" si="12"/>
        <v>5.1940208761751296E-3</v>
      </c>
      <c r="T34" s="11">
        <v>0.1</v>
      </c>
      <c r="U34" s="30">
        <f t="shared" si="13"/>
        <v>110000.00000000001</v>
      </c>
      <c r="V34" s="30">
        <f t="shared" si="1"/>
        <v>33.897970297029701</v>
      </c>
      <c r="W34" s="11">
        <f t="shared" si="14"/>
        <v>1854.7610536299371</v>
      </c>
      <c r="X34" s="2">
        <f t="shared" si="15"/>
        <v>5.2221343126612347E-14</v>
      </c>
      <c r="Y34" s="2">
        <f t="shared" si="16"/>
        <v>31447692830.845959</v>
      </c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</row>
    <row r="35" spans="1:76" s="4" customFormat="1" x14ac:dyDescent="0.3">
      <c r="A35" s="26">
        <v>99</v>
      </c>
      <c r="B35" s="26">
        <f t="shared" si="2"/>
        <v>1.65</v>
      </c>
      <c r="C35" s="26">
        <v>20</v>
      </c>
      <c r="D35" s="26">
        <f t="shared" si="0"/>
        <v>29.146000000000001</v>
      </c>
      <c r="E35" s="26">
        <f t="shared" si="3"/>
        <v>4.8576666666666667E-7</v>
      </c>
      <c r="F35" s="26">
        <v>21.1</v>
      </c>
      <c r="G35" s="26">
        <f t="shared" si="4"/>
        <v>294.10000000000002</v>
      </c>
      <c r="H35" s="26">
        <v>101.3</v>
      </c>
      <c r="I35" s="26">
        <f t="shared" si="5"/>
        <v>101300</v>
      </c>
      <c r="J35" s="26">
        <f t="shared" si="6"/>
        <v>2.0124824921938581E-5</v>
      </c>
      <c r="K35" s="28">
        <v>316.70297029702971</v>
      </c>
      <c r="L35" s="27">
        <f t="shared" si="7"/>
        <v>3.1670297029702971E-4</v>
      </c>
      <c r="M35" s="29">
        <f t="shared" si="8"/>
        <v>4.7762865441819992E-3</v>
      </c>
      <c r="N35" s="27">
        <f t="shared" si="9"/>
        <v>1.3344240908764818E-6</v>
      </c>
      <c r="O35" s="21">
        <f t="shared" si="10"/>
        <v>2.032E-3</v>
      </c>
      <c r="P35" s="21">
        <v>7.0840480334740597E-11</v>
      </c>
      <c r="Q35" s="2">
        <v>0.31</v>
      </c>
      <c r="R35" s="27">
        <f t="shared" si="11"/>
        <v>131000</v>
      </c>
      <c r="S35" s="2">
        <f t="shared" si="12"/>
        <v>5.1940208761751296E-3</v>
      </c>
      <c r="T35" s="11">
        <v>0.1</v>
      </c>
      <c r="U35" s="30">
        <f t="shared" si="13"/>
        <v>110000.00000000001</v>
      </c>
      <c r="V35" s="30">
        <f t="shared" si="1"/>
        <v>34.837326732673276</v>
      </c>
      <c r="W35" s="11">
        <f t="shared" si="14"/>
        <v>1951.7977958977817</v>
      </c>
      <c r="X35" s="2">
        <f t="shared" si="15"/>
        <v>5.3708819396967464E-14</v>
      </c>
      <c r="Y35" s="2">
        <f t="shared" si="16"/>
        <v>32343451040.853809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</row>
    <row r="36" spans="1:76" s="4" customFormat="1" x14ac:dyDescent="0.3">
      <c r="A36" s="26">
        <v>102</v>
      </c>
      <c r="B36" s="26">
        <f t="shared" si="2"/>
        <v>1.7</v>
      </c>
      <c r="C36" s="26">
        <v>20</v>
      </c>
      <c r="D36" s="26">
        <f t="shared" si="0"/>
        <v>29.146000000000001</v>
      </c>
      <c r="E36" s="26">
        <f t="shared" si="3"/>
        <v>4.8576666666666667E-7</v>
      </c>
      <c r="F36" s="26">
        <v>21.1</v>
      </c>
      <c r="G36" s="26">
        <f t="shared" si="4"/>
        <v>294.10000000000002</v>
      </c>
      <c r="H36" s="26">
        <v>101.3</v>
      </c>
      <c r="I36" s="26">
        <f t="shared" si="5"/>
        <v>101300</v>
      </c>
      <c r="J36" s="26">
        <f t="shared" si="6"/>
        <v>2.0124824921938581E-5</v>
      </c>
      <c r="K36" s="28">
        <v>328.16336633663366</v>
      </c>
      <c r="L36" s="27">
        <f t="shared" si="7"/>
        <v>3.2816336633663363E-4</v>
      </c>
      <c r="M36" s="29">
        <f t="shared" si="8"/>
        <v>4.7762865441819992E-3</v>
      </c>
      <c r="N36" s="27">
        <f t="shared" si="9"/>
        <v>1.3827123293855489E-6</v>
      </c>
      <c r="O36" s="21">
        <f t="shared" si="10"/>
        <v>2.032E-3</v>
      </c>
      <c r="P36" s="21">
        <v>7.0840480334740597E-11</v>
      </c>
      <c r="Q36" s="2">
        <v>0.31</v>
      </c>
      <c r="R36" s="27">
        <f t="shared" si="11"/>
        <v>131000</v>
      </c>
      <c r="S36" s="2">
        <f t="shared" si="12"/>
        <v>5.1940208761751296E-3</v>
      </c>
      <c r="T36" s="11">
        <v>0.1</v>
      </c>
      <c r="U36" s="30">
        <f t="shared" si="13"/>
        <v>110000.00000000001</v>
      </c>
      <c r="V36" s="30">
        <f t="shared" si="1"/>
        <v>36.097970297029704</v>
      </c>
      <c r="W36" s="11">
        <f t="shared" si="14"/>
        <v>2085.7586486269761</v>
      </c>
      <c r="X36" s="2">
        <f t="shared" si="15"/>
        <v>5.5710188643923568E-14</v>
      </c>
      <c r="Y36" s="2">
        <f t="shared" si="16"/>
        <v>33548675601.370773</v>
      </c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</row>
    <row r="37" spans="1:76" s="4" customFormat="1" x14ac:dyDescent="0.3">
      <c r="A37" s="26">
        <v>105</v>
      </c>
      <c r="B37" s="26">
        <f t="shared" si="2"/>
        <v>1.75</v>
      </c>
      <c r="C37" s="26">
        <v>20</v>
      </c>
      <c r="D37" s="26">
        <f t="shared" si="0"/>
        <v>29.146000000000001</v>
      </c>
      <c r="E37" s="26">
        <f t="shared" si="3"/>
        <v>4.8576666666666667E-7</v>
      </c>
      <c r="F37" s="26">
        <v>21.1</v>
      </c>
      <c r="G37" s="26">
        <f t="shared" si="4"/>
        <v>294.10000000000002</v>
      </c>
      <c r="H37" s="26">
        <v>101.3</v>
      </c>
      <c r="I37" s="26">
        <f t="shared" si="5"/>
        <v>101300</v>
      </c>
      <c r="J37" s="26">
        <f t="shared" si="6"/>
        <v>2.0124824921938581E-5</v>
      </c>
      <c r="K37" s="28">
        <v>326.60396039603961</v>
      </c>
      <c r="L37" s="27">
        <f t="shared" si="7"/>
        <v>3.2660396039603962E-4</v>
      </c>
      <c r="M37" s="29">
        <f t="shared" si="8"/>
        <v>4.7762865441819992E-3</v>
      </c>
      <c r="N37" s="27">
        <f t="shared" si="9"/>
        <v>1.3761417915322636E-6</v>
      </c>
      <c r="O37" s="21">
        <f t="shared" si="10"/>
        <v>2.032E-3</v>
      </c>
      <c r="P37" s="21">
        <v>7.0840480334740597E-11</v>
      </c>
      <c r="Q37" s="2">
        <v>0.31</v>
      </c>
      <c r="R37" s="27">
        <f t="shared" si="11"/>
        <v>131000</v>
      </c>
      <c r="S37" s="2">
        <f t="shared" si="12"/>
        <v>5.1940208761751296E-3</v>
      </c>
      <c r="T37" s="11">
        <v>0.1</v>
      </c>
      <c r="U37" s="30">
        <f t="shared" si="13"/>
        <v>110000.00000000001</v>
      </c>
      <c r="V37" s="30">
        <f t="shared" si="1"/>
        <v>35.926435643564361</v>
      </c>
      <c r="W37" s="11">
        <f t="shared" si="14"/>
        <v>2067.2793883229647</v>
      </c>
      <c r="X37" s="2">
        <f t="shared" si="15"/>
        <v>5.5437511594308774E-14</v>
      </c>
      <c r="Y37" s="2">
        <f t="shared" si="16"/>
        <v>33384469482.092747</v>
      </c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</row>
    <row r="38" spans="1:76" s="4" customFormat="1" x14ac:dyDescent="0.3">
      <c r="A38" s="26">
        <v>108</v>
      </c>
      <c r="B38" s="26">
        <f t="shared" si="2"/>
        <v>1.8</v>
      </c>
      <c r="C38" s="26">
        <v>20</v>
      </c>
      <c r="D38" s="26">
        <f t="shared" si="0"/>
        <v>29.146000000000001</v>
      </c>
      <c r="E38" s="26">
        <f t="shared" si="3"/>
        <v>4.8576666666666667E-7</v>
      </c>
      <c r="F38" s="26">
        <v>21.1</v>
      </c>
      <c r="G38" s="26">
        <f t="shared" si="4"/>
        <v>294.10000000000002</v>
      </c>
      <c r="H38" s="26">
        <v>101.3</v>
      </c>
      <c r="I38" s="26">
        <f t="shared" si="5"/>
        <v>101300</v>
      </c>
      <c r="J38" s="26">
        <f t="shared" si="6"/>
        <v>2.0124824921938581E-5</v>
      </c>
      <c r="K38" s="28">
        <v>324.4009900990099</v>
      </c>
      <c r="L38" s="27">
        <f t="shared" si="7"/>
        <v>3.2440099009900991E-4</v>
      </c>
      <c r="M38" s="29">
        <f t="shared" si="8"/>
        <v>4.7762865441819992E-3</v>
      </c>
      <c r="N38" s="27">
        <f t="shared" si="9"/>
        <v>1.3668596031363519E-6</v>
      </c>
      <c r="O38" s="21">
        <f t="shared" si="10"/>
        <v>2.032E-3</v>
      </c>
      <c r="P38" s="21">
        <v>7.0840480334740597E-11</v>
      </c>
      <c r="Q38" s="2">
        <v>0.31</v>
      </c>
      <c r="R38" s="27">
        <f t="shared" si="11"/>
        <v>131000</v>
      </c>
      <c r="S38" s="2">
        <f t="shared" si="12"/>
        <v>5.1940208761751296E-3</v>
      </c>
      <c r="T38" s="11">
        <v>0.1</v>
      </c>
      <c r="U38" s="30">
        <f t="shared" si="13"/>
        <v>110000.00000000001</v>
      </c>
      <c r="V38" s="30">
        <f t="shared" si="1"/>
        <v>35.684108910891098</v>
      </c>
      <c r="W38" s="11">
        <f t="shared" si="14"/>
        <v>2041.3086298120368</v>
      </c>
      <c r="X38" s="2">
        <f t="shared" si="15"/>
        <v>5.5052491910846818E-14</v>
      </c>
      <c r="Y38" s="2">
        <f t="shared" si="16"/>
        <v>33152610628.711956</v>
      </c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</row>
    <row r="39" spans="1:76" s="4" customFormat="1" x14ac:dyDescent="0.3">
      <c r="A39" s="26">
        <v>111</v>
      </c>
      <c r="B39" s="26">
        <f t="shared" si="2"/>
        <v>1.85</v>
      </c>
      <c r="C39" s="26">
        <v>20</v>
      </c>
      <c r="D39" s="26">
        <f t="shared" si="0"/>
        <v>29.146000000000001</v>
      </c>
      <c r="E39" s="26">
        <f t="shared" si="3"/>
        <v>4.8576666666666667E-7</v>
      </c>
      <c r="F39" s="26">
        <v>21.1</v>
      </c>
      <c r="G39" s="26">
        <f t="shared" si="4"/>
        <v>294.10000000000002</v>
      </c>
      <c r="H39" s="26">
        <v>101.3</v>
      </c>
      <c r="I39" s="26">
        <f t="shared" si="5"/>
        <v>101300</v>
      </c>
      <c r="J39" s="26">
        <f t="shared" si="6"/>
        <v>2.0124824921938581E-5</v>
      </c>
      <c r="K39" s="28">
        <v>327.84158415841586</v>
      </c>
      <c r="L39" s="27">
        <f t="shared" si="7"/>
        <v>3.2784158415841586E-4</v>
      </c>
      <c r="M39" s="29">
        <f t="shared" si="8"/>
        <v>4.7762865441819992E-3</v>
      </c>
      <c r="N39" s="27">
        <f t="shared" si="9"/>
        <v>1.3813565041142362E-6</v>
      </c>
      <c r="O39" s="21">
        <f t="shared" si="10"/>
        <v>2.032E-3</v>
      </c>
      <c r="P39" s="21">
        <v>7.0840480334740597E-11</v>
      </c>
      <c r="Q39" s="2">
        <v>0.31</v>
      </c>
      <c r="R39" s="27">
        <f t="shared" si="11"/>
        <v>131000</v>
      </c>
      <c r="S39" s="2">
        <f t="shared" si="12"/>
        <v>5.1940208761751296E-3</v>
      </c>
      <c r="T39" s="11">
        <v>0.1</v>
      </c>
      <c r="U39" s="30">
        <f t="shared" si="13"/>
        <v>110000.00000000001</v>
      </c>
      <c r="V39" s="30">
        <f t="shared" si="1"/>
        <v>36.062574257425752</v>
      </c>
      <c r="W39" s="11">
        <f t="shared" si="14"/>
        <v>2081.9389891188753</v>
      </c>
      <c r="X39" s="2">
        <f t="shared" si="15"/>
        <v>5.5653912753187168E-14</v>
      </c>
      <c r="Y39" s="2">
        <f t="shared" si="16"/>
        <v>33514786259.969315</v>
      </c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</row>
    <row r="40" spans="1:76" s="4" customFormat="1" x14ac:dyDescent="0.3">
      <c r="A40" s="26">
        <v>114</v>
      </c>
      <c r="B40" s="26">
        <f t="shared" si="2"/>
        <v>1.9</v>
      </c>
      <c r="C40" s="26">
        <v>20</v>
      </c>
      <c r="D40" s="26">
        <f t="shared" si="0"/>
        <v>29.146000000000001</v>
      </c>
      <c r="E40" s="26">
        <f t="shared" si="3"/>
        <v>4.8576666666666667E-7</v>
      </c>
      <c r="F40" s="26">
        <v>21.1</v>
      </c>
      <c r="G40" s="26">
        <f t="shared" si="4"/>
        <v>294.10000000000002</v>
      </c>
      <c r="H40" s="26">
        <v>101.3</v>
      </c>
      <c r="I40" s="26">
        <f t="shared" si="5"/>
        <v>101300</v>
      </c>
      <c r="J40" s="26">
        <f t="shared" si="6"/>
        <v>2.0124824921938581E-5</v>
      </c>
      <c r="K40" s="28">
        <v>332.69306930693074</v>
      </c>
      <c r="L40" s="27">
        <f t="shared" si="7"/>
        <v>3.3269306930693075E-4</v>
      </c>
      <c r="M40" s="29">
        <f t="shared" si="8"/>
        <v>4.7762865441819992E-3</v>
      </c>
      <c r="N40" s="27">
        <f t="shared" si="9"/>
        <v>1.4017981774355692E-6</v>
      </c>
      <c r="O40" s="21">
        <f t="shared" si="10"/>
        <v>2.032E-3</v>
      </c>
      <c r="P40" s="21">
        <v>7.0840480334740597E-11</v>
      </c>
      <c r="Q40" s="2">
        <v>0.31</v>
      </c>
      <c r="R40" s="27">
        <f t="shared" si="11"/>
        <v>131000</v>
      </c>
      <c r="S40" s="2">
        <f t="shared" si="12"/>
        <v>5.1940208761751296E-3</v>
      </c>
      <c r="T40" s="11">
        <v>0.1</v>
      </c>
      <c r="U40" s="30">
        <f t="shared" si="13"/>
        <v>110000.00000000001</v>
      </c>
      <c r="V40" s="30">
        <f t="shared" si="1"/>
        <v>36.596237623762384</v>
      </c>
      <c r="W40" s="11">
        <f t="shared" si="14"/>
        <v>2139.8850999833444</v>
      </c>
      <c r="X40" s="2">
        <f t="shared" si="15"/>
        <v>5.6502890777599748E-14</v>
      </c>
      <c r="Y40" s="2">
        <f t="shared" si="16"/>
        <v>34026040826.270569</v>
      </c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</row>
    <row r="41" spans="1:76" s="4" customFormat="1" x14ac:dyDescent="0.3">
      <c r="A41" s="26">
        <v>117</v>
      </c>
      <c r="B41" s="26">
        <f t="shared" si="2"/>
        <v>1.95</v>
      </c>
      <c r="C41" s="26">
        <v>20</v>
      </c>
      <c r="D41" s="26">
        <f t="shared" si="0"/>
        <v>29.146000000000001</v>
      </c>
      <c r="E41" s="26">
        <f t="shared" si="3"/>
        <v>4.8576666666666667E-7</v>
      </c>
      <c r="F41" s="26">
        <v>21.1</v>
      </c>
      <c r="G41" s="26">
        <f t="shared" si="4"/>
        <v>294.10000000000002</v>
      </c>
      <c r="H41" s="26">
        <v>101.3</v>
      </c>
      <c r="I41" s="26">
        <f t="shared" si="5"/>
        <v>101300</v>
      </c>
      <c r="J41" s="26">
        <f t="shared" si="6"/>
        <v>2.0124824921938581E-5</v>
      </c>
      <c r="K41" s="28">
        <v>340.26732673267327</v>
      </c>
      <c r="L41" s="27">
        <f t="shared" si="7"/>
        <v>3.4026732673267325E-4</v>
      </c>
      <c r="M41" s="29">
        <f t="shared" si="8"/>
        <v>4.7762865441819992E-3</v>
      </c>
      <c r="N41" s="27">
        <f t="shared" si="9"/>
        <v>1.4337122184372418E-6</v>
      </c>
      <c r="O41" s="21">
        <f t="shared" si="10"/>
        <v>2.032E-3</v>
      </c>
      <c r="P41" s="21">
        <v>7.0840480334740597E-11</v>
      </c>
      <c r="Q41" s="2">
        <v>0.31</v>
      </c>
      <c r="R41" s="27">
        <f t="shared" si="11"/>
        <v>131000</v>
      </c>
      <c r="S41" s="2">
        <f t="shared" si="12"/>
        <v>5.1940208761751296E-3</v>
      </c>
      <c r="T41" s="11">
        <v>0.1</v>
      </c>
      <c r="U41" s="30">
        <f t="shared" si="13"/>
        <v>110000.00000000001</v>
      </c>
      <c r="V41" s="30">
        <f t="shared" si="1"/>
        <v>37.429405940594066</v>
      </c>
      <c r="W41" s="11">
        <f t="shared" si="14"/>
        <v>2231.8816755103517</v>
      </c>
      <c r="X41" s="2">
        <f t="shared" si="15"/>
        <v>5.78305506820017E-14</v>
      </c>
      <c r="Y41" s="2">
        <f t="shared" si="16"/>
        <v>34825557620.701424</v>
      </c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</row>
    <row r="42" spans="1:76" s="4" customFormat="1" x14ac:dyDescent="0.3">
      <c r="A42" s="26">
        <v>120</v>
      </c>
      <c r="B42" s="26">
        <f t="shared" si="2"/>
        <v>2</v>
      </c>
      <c r="C42" s="26">
        <v>20</v>
      </c>
      <c r="D42" s="26">
        <f t="shared" si="0"/>
        <v>29.146000000000001</v>
      </c>
      <c r="E42" s="26">
        <f t="shared" si="3"/>
        <v>4.8576666666666667E-7</v>
      </c>
      <c r="F42" s="26">
        <v>21.1</v>
      </c>
      <c r="G42" s="26">
        <f t="shared" si="4"/>
        <v>294.10000000000002</v>
      </c>
      <c r="H42" s="26">
        <v>101.3</v>
      </c>
      <c r="I42" s="26">
        <f t="shared" si="5"/>
        <v>101300</v>
      </c>
      <c r="J42" s="26">
        <f t="shared" si="6"/>
        <v>2.0124824921938581E-5</v>
      </c>
      <c r="K42" s="28">
        <v>341.6782178217822</v>
      </c>
      <c r="L42" s="27">
        <f t="shared" si="7"/>
        <v>3.4167821782178219E-4</v>
      </c>
      <c r="M42" s="29">
        <f t="shared" si="8"/>
        <v>4.7762865441819992E-3</v>
      </c>
      <c r="N42" s="27">
        <f t="shared" si="9"/>
        <v>1.4396569907806908E-6</v>
      </c>
      <c r="O42" s="21">
        <f t="shared" si="10"/>
        <v>2.032E-3</v>
      </c>
      <c r="P42" s="21">
        <v>7.0840480334740597E-11</v>
      </c>
      <c r="Q42" s="2">
        <v>0.31</v>
      </c>
      <c r="R42" s="27">
        <f t="shared" si="11"/>
        <v>131000</v>
      </c>
      <c r="S42" s="2">
        <f t="shared" si="12"/>
        <v>5.1940208761751296E-3</v>
      </c>
      <c r="T42" s="11">
        <v>0.1</v>
      </c>
      <c r="U42" s="30">
        <f t="shared" si="13"/>
        <v>110000.00000000001</v>
      </c>
      <c r="V42" s="30">
        <f t="shared" si="1"/>
        <v>37.584603960396045</v>
      </c>
      <c r="W42" s="11">
        <f t="shared" si="14"/>
        <v>2249.2241932137435</v>
      </c>
      <c r="X42" s="27">
        <f t="shared" si="15"/>
        <v>5.8078162386127073E-14</v>
      </c>
      <c r="Y42" s="27">
        <f t="shared" si="16"/>
        <v>34974669388.925728</v>
      </c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</row>
    <row r="43" spans="1:76" s="4" customFormat="1" x14ac:dyDescent="0.3">
      <c r="A43" s="26">
        <v>123</v>
      </c>
      <c r="B43" s="26">
        <f t="shared" si="2"/>
        <v>2.0499999999999998</v>
      </c>
      <c r="C43" s="26">
        <v>20</v>
      </c>
      <c r="D43" s="26">
        <f t="shared" si="0"/>
        <v>29.146000000000001</v>
      </c>
      <c r="E43" s="26">
        <f t="shared" si="3"/>
        <v>4.8576666666666667E-7</v>
      </c>
      <c r="F43" s="26">
        <v>21.1</v>
      </c>
      <c r="G43" s="26">
        <f t="shared" si="4"/>
        <v>294.10000000000002</v>
      </c>
      <c r="H43" s="26">
        <v>101.3</v>
      </c>
      <c r="I43" s="26">
        <f t="shared" si="5"/>
        <v>101300</v>
      </c>
      <c r="J43" s="26">
        <f t="shared" si="6"/>
        <v>2.0124824921938581E-5</v>
      </c>
      <c r="K43" s="20">
        <v>350.31683168316835</v>
      </c>
      <c r="L43" s="27">
        <f t="shared" si="7"/>
        <v>3.5031683168316834E-4</v>
      </c>
      <c r="M43" s="29">
        <f t="shared" si="8"/>
        <v>4.7762865441819992E-3</v>
      </c>
      <c r="N43" s="27">
        <f t="shared" si="9"/>
        <v>1.4760556846028599E-6</v>
      </c>
      <c r="O43" s="21">
        <f t="shared" si="10"/>
        <v>2.032E-3</v>
      </c>
      <c r="P43" s="21">
        <v>7.0840480334740597E-11</v>
      </c>
      <c r="Q43" s="2">
        <v>0.31</v>
      </c>
      <c r="R43" s="27">
        <f t="shared" si="11"/>
        <v>131000</v>
      </c>
      <c r="S43" s="2">
        <f t="shared" si="12"/>
        <v>5.1940208761751296E-3</v>
      </c>
      <c r="T43" s="11">
        <v>0.1</v>
      </c>
      <c r="U43" s="30">
        <f t="shared" si="13"/>
        <v>110000.00000000001</v>
      </c>
      <c r="V43" s="30">
        <f t="shared" si="1"/>
        <v>38.534851485148522</v>
      </c>
      <c r="W43" s="11">
        <f t="shared" si="14"/>
        <v>2356.8178941686097</v>
      </c>
      <c r="X43" s="9">
        <f t="shared" si="15"/>
        <v>5.9596349489528809E-14</v>
      </c>
      <c r="Y43" s="9">
        <f t="shared" si="16"/>
        <v>35888921662.594254</v>
      </c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</row>
    <row r="44" spans="1:76" s="4" customFormat="1" x14ac:dyDescent="0.3">
      <c r="A44" s="26">
        <v>126</v>
      </c>
      <c r="B44" s="26">
        <f t="shared" si="2"/>
        <v>2.1</v>
      </c>
      <c r="C44" s="26">
        <v>20</v>
      </c>
      <c r="D44" s="26">
        <f t="shared" si="0"/>
        <v>29.146000000000001</v>
      </c>
      <c r="E44" s="26">
        <f t="shared" si="3"/>
        <v>4.8576666666666667E-7</v>
      </c>
      <c r="F44" s="26">
        <v>21.1</v>
      </c>
      <c r="G44" s="26">
        <f t="shared" si="4"/>
        <v>294.10000000000002</v>
      </c>
      <c r="H44" s="26">
        <v>101.3</v>
      </c>
      <c r="I44" s="26">
        <f t="shared" si="5"/>
        <v>101300</v>
      </c>
      <c r="J44" s="26">
        <f t="shared" si="6"/>
        <v>2.0124824921938581E-5</v>
      </c>
      <c r="K44" s="20">
        <v>351.13366336633663</v>
      </c>
      <c r="L44" s="27">
        <f t="shared" si="7"/>
        <v>3.5113366336633663E-4</v>
      </c>
      <c r="M44" s="29">
        <f t="shared" si="8"/>
        <v>4.7762865441819992E-3</v>
      </c>
      <c r="N44" s="27">
        <f t="shared" si="9"/>
        <v>1.4794973949069619E-6</v>
      </c>
      <c r="O44" s="21">
        <f t="shared" si="10"/>
        <v>2.032E-3</v>
      </c>
      <c r="P44" s="21">
        <v>7.0840480334740597E-11</v>
      </c>
      <c r="Q44" s="2">
        <v>0.31</v>
      </c>
      <c r="R44" s="27">
        <f t="shared" si="11"/>
        <v>131000</v>
      </c>
      <c r="S44" s="2">
        <f t="shared" si="12"/>
        <v>5.1940208761751296E-3</v>
      </c>
      <c r="T44" s="11">
        <v>0.1</v>
      </c>
      <c r="U44" s="30">
        <f t="shared" si="13"/>
        <v>110000.00000000001</v>
      </c>
      <c r="V44" s="30">
        <f t="shared" si="1"/>
        <v>38.624702970297037</v>
      </c>
      <c r="W44" s="11">
        <f t="shared" si="14"/>
        <v>2367.1167820731484</v>
      </c>
      <c r="X44" s="9">
        <f t="shared" si="15"/>
        <v>5.9740092604272189E-14</v>
      </c>
      <c r="Y44" s="9">
        <f t="shared" si="16"/>
        <v>35975483766.292717</v>
      </c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</row>
    <row r="45" spans="1:76" s="4" customFormat="1" x14ac:dyDescent="0.3">
      <c r="A45" s="26">
        <v>129</v>
      </c>
      <c r="B45" s="26">
        <f t="shared" si="2"/>
        <v>2.15</v>
      </c>
      <c r="C45" s="26">
        <v>20</v>
      </c>
      <c r="D45" s="26">
        <f t="shared" si="0"/>
        <v>29.146000000000001</v>
      </c>
      <c r="E45" s="26">
        <f t="shared" si="3"/>
        <v>4.8576666666666667E-7</v>
      </c>
      <c r="F45" s="26">
        <v>21.1</v>
      </c>
      <c r="G45" s="26">
        <f t="shared" si="4"/>
        <v>294.10000000000002</v>
      </c>
      <c r="H45" s="26">
        <v>101.3</v>
      </c>
      <c r="I45" s="26">
        <f t="shared" si="5"/>
        <v>101300</v>
      </c>
      <c r="J45" s="26">
        <f t="shared" si="6"/>
        <v>2.0124824921938581E-5</v>
      </c>
      <c r="K45" s="20">
        <v>344.20297029702976</v>
      </c>
      <c r="L45" s="27">
        <f t="shared" si="7"/>
        <v>3.4420297029702978E-4</v>
      </c>
      <c r="M45" s="29">
        <f t="shared" si="8"/>
        <v>4.7762865441819992E-3</v>
      </c>
      <c r="N45" s="27">
        <f t="shared" si="9"/>
        <v>1.4502950044479152E-6</v>
      </c>
      <c r="O45" s="21">
        <f t="shared" si="10"/>
        <v>2.032E-3</v>
      </c>
      <c r="P45" s="21">
        <v>7.0840480334740597E-11</v>
      </c>
      <c r="Q45" s="2">
        <v>0.31</v>
      </c>
      <c r="R45" s="27">
        <f t="shared" si="11"/>
        <v>131000</v>
      </c>
      <c r="S45" s="2">
        <f t="shared" si="12"/>
        <v>5.1940208761751296E-3</v>
      </c>
      <c r="T45" s="11">
        <v>0.1</v>
      </c>
      <c r="U45" s="30">
        <f t="shared" si="13"/>
        <v>110000.00000000001</v>
      </c>
      <c r="V45" s="30">
        <f t="shared" si="1"/>
        <v>37.862326732673282</v>
      </c>
      <c r="W45" s="11">
        <f t="shared" si="14"/>
        <v>2280.4194696191048</v>
      </c>
      <c r="X45" s="9">
        <f t="shared" si="15"/>
        <v>5.8521496874650231E-14</v>
      </c>
      <c r="Y45" s="9">
        <f t="shared" si="16"/>
        <v>35241645417.914368</v>
      </c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</row>
    <row r="46" spans="1:76" s="4" customFormat="1" x14ac:dyDescent="0.3">
      <c r="A46" s="26">
        <v>132</v>
      </c>
      <c r="B46" s="26">
        <f t="shared" si="2"/>
        <v>2.2000000000000002</v>
      </c>
      <c r="C46" s="26">
        <v>20</v>
      </c>
      <c r="D46" s="26">
        <f t="shared" si="0"/>
        <v>29.146000000000001</v>
      </c>
      <c r="E46" s="26">
        <f t="shared" si="3"/>
        <v>4.8576666666666667E-7</v>
      </c>
      <c r="F46" s="26">
        <v>21.1</v>
      </c>
      <c r="G46" s="26">
        <f t="shared" si="4"/>
        <v>294.10000000000002</v>
      </c>
      <c r="H46" s="26">
        <v>101.3</v>
      </c>
      <c r="I46" s="26">
        <f t="shared" si="5"/>
        <v>101300</v>
      </c>
      <c r="J46" s="26">
        <f t="shared" si="6"/>
        <v>2.0124824921938581E-5</v>
      </c>
      <c r="K46" s="20">
        <v>354.72277227722776</v>
      </c>
      <c r="L46" s="27">
        <f t="shared" si="7"/>
        <v>3.5472277227722776E-4</v>
      </c>
      <c r="M46" s="29">
        <f t="shared" si="8"/>
        <v>4.7762865441819992E-3</v>
      </c>
      <c r="N46" s="27">
        <f t="shared" si="9"/>
        <v>1.4946200613946827E-6</v>
      </c>
      <c r="O46" s="21">
        <f t="shared" si="10"/>
        <v>2.032E-3</v>
      </c>
      <c r="P46" s="21">
        <v>7.0840480334740597E-11</v>
      </c>
      <c r="Q46" s="2">
        <v>0.31</v>
      </c>
      <c r="R46" s="27">
        <f t="shared" si="11"/>
        <v>131000</v>
      </c>
      <c r="S46" s="2">
        <f t="shared" si="12"/>
        <v>5.1940208761751296E-3</v>
      </c>
      <c r="T46" s="11">
        <v>0.1</v>
      </c>
      <c r="U46" s="30">
        <f t="shared" si="13"/>
        <v>110000.00000000001</v>
      </c>
      <c r="V46" s="30">
        <f t="shared" si="1"/>
        <v>39.019504950495062</v>
      </c>
      <c r="W46" s="11">
        <f t="shared" si="14"/>
        <v>2412.6257986843079</v>
      </c>
      <c r="X46" s="9">
        <f t="shared" si="15"/>
        <v>6.0372084343835252E-14</v>
      </c>
      <c r="Y46" s="9">
        <f t="shared" si="16"/>
        <v>36356069191.85759</v>
      </c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</row>
    <row r="47" spans="1:76" s="4" customFormat="1" x14ac:dyDescent="0.3">
      <c r="A47" s="26">
        <v>135</v>
      </c>
      <c r="B47" s="26">
        <f t="shared" si="2"/>
        <v>2.25</v>
      </c>
      <c r="C47" s="26">
        <v>20</v>
      </c>
      <c r="D47" s="26">
        <f t="shared" si="0"/>
        <v>29.146000000000001</v>
      </c>
      <c r="E47" s="26">
        <f t="shared" si="3"/>
        <v>4.8576666666666667E-7</v>
      </c>
      <c r="F47" s="26">
        <v>21.1</v>
      </c>
      <c r="G47" s="26">
        <f t="shared" si="4"/>
        <v>294.10000000000002</v>
      </c>
      <c r="H47" s="26">
        <v>101.3</v>
      </c>
      <c r="I47" s="26">
        <f t="shared" si="5"/>
        <v>101300</v>
      </c>
      <c r="J47" s="26">
        <f t="shared" si="6"/>
        <v>2.0124824921938581E-5</v>
      </c>
      <c r="K47" s="20">
        <v>358.78217821782181</v>
      </c>
      <c r="L47" s="27">
        <f t="shared" si="7"/>
        <v>3.5878217821782183E-4</v>
      </c>
      <c r="M47" s="29">
        <f t="shared" si="8"/>
        <v>4.7762865441819992E-3</v>
      </c>
      <c r="N47" s="27">
        <f t="shared" si="9"/>
        <v>1.5117243186635533E-6</v>
      </c>
      <c r="O47" s="21">
        <f t="shared" si="10"/>
        <v>2.032E-3</v>
      </c>
      <c r="P47" s="21">
        <v>7.0840480334740597E-11</v>
      </c>
      <c r="Q47" s="2">
        <v>0.31</v>
      </c>
      <c r="R47" s="27">
        <f t="shared" si="11"/>
        <v>131000</v>
      </c>
      <c r="S47" s="2">
        <f t="shared" si="12"/>
        <v>5.1940208761751296E-3</v>
      </c>
      <c r="T47" s="11">
        <v>0.1</v>
      </c>
      <c r="U47" s="30">
        <f t="shared" si="13"/>
        <v>110000.00000000001</v>
      </c>
      <c r="V47" s="30">
        <f t="shared" si="1"/>
        <v>39.466039603960404</v>
      </c>
      <c r="W47" s="11">
        <f t="shared" si="14"/>
        <v>2464.601147296115</v>
      </c>
      <c r="X47" s="9">
        <f t="shared" si="15"/>
        <v>6.1087667212657076E-14</v>
      </c>
      <c r="Y47" s="9">
        <f t="shared" si="16"/>
        <v>36786993195.46209</v>
      </c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</row>
    <row r="48" spans="1:76" s="4" customFormat="1" x14ac:dyDescent="0.3">
      <c r="A48" s="26">
        <v>138</v>
      </c>
      <c r="B48" s="26">
        <f t="shared" si="2"/>
        <v>2.2999999999999998</v>
      </c>
      <c r="C48" s="26">
        <v>20</v>
      </c>
      <c r="D48" s="26">
        <f t="shared" si="0"/>
        <v>29.146000000000001</v>
      </c>
      <c r="E48" s="26">
        <f t="shared" si="3"/>
        <v>4.8576666666666667E-7</v>
      </c>
      <c r="F48" s="26">
        <v>21.1</v>
      </c>
      <c r="G48" s="26">
        <f t="shared" si="4"/>
        <v>294.10000000000002</v>
      </c>
      <c r="H48" s="26">
        <v>101.3</v>
      </c>
      <c r="I48" s="26">
        <f t="shared" si="5"/>
        <v>101300</v>
      </c>
      <c r="J48" s="26">
        <f t="shared" si="6"/>
        <v>2.0124824921938581E-5</v>
      </c>
      <c r="K48" s="20">
        <v>345.41584158415844</v>
      </c>
      <c r="L48" s="27">
        <f t="shared" si="7"/>
        <v>3.4541584158415844E-4</v>
      </c>
      <c r="M48" s="29">
        <f t="shared" si="8"/>
        <v>4.7762865441819992E-3</v>
      </c>
      <c r="N48" s="27">
        <f t="shared" si="9"/>
        <v>1.4554054227782482E-6</v>
      </c>
      <c r="O48" s="21">
        <f t="shared" si="10"/>
        <v>2.032E-3</v>
      </c>
      <c r="P48" s="21">
        <v>7.0840480334740597E-11</v>
      </c>
      <c r="Q48" s="2">
        <v>0.31</v>
      </c>
      <c r="R48" s="27">
        <f t="shared" si="11"/>
        <v>131000</v>
      </c>
      <c r="S48" s="2">
        <f t="shared" si="12"/>
        <v>5.1940208761751296E-3</v>
      </c>
      <c r="T48" s="11">
        <v>0.1</v>
      </c>
      <c r="U48" s="30">
        <f t="shared" si="13"/>
        <v>110000.00000000001</v>
      </c>
      <c r="V48" s="30">
        <f t="shared" si="1"/>
        <v>37.995742574257434</v>
      </c>
      <c r="W48" s="11">
        <f t="shared" si="14"/>
        <v>2295.4790046363059</v>
      </c>
      <c r="X48" s="9">
        <f t="shared" si="15"/>
        <v>5.8734581277692829E-14</v>
      </c>
      <c r="Y48" s="9">
        <f t="shared" si="16"/>
        <v>35369964845.42662</v>
      </c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</row>
    <row r="49" spans="1:76" s="4" customFormat="1" x14ac:dyDescent="0.3">
      <c r="A49" s="26">
        <v>141</v>
      </c>
      <c r="B49" s="26">
        <f t="shared" si="2"/>
        <v>2.35</v>
      </c>
      <c r="C49" s="26">
        <v>20</v>
      </c>
      <c r="D49" s="26">
        <f t="shared" si="0"/>
        <v>29.146000000000001</v>
      </c>
      <c r="E49" s="26">
        <f t="shared" si="3"/>
        <v>4.8576666666666667E-7</v>
      </c>
      <c r="F49" s="26">
        <v>21.1</v>
      </c>
      <c r="G49" s="26">
        <f t="shared" si="4"/>
        <v>294.10000000000002</v>
      </c>
      <c r="H49" s="26">
        <v>101.3</v>
      </c>
      <c r="I49" s="26">
        <f t="shared" si="5"/>
        <v>101300</v>
      </c>
      <c r="J49" s="26">
        <f t="shared" si="6"/>
        <v>2.0124824921938581E-5</v>
      </c>
      <c r="K49" s="20">
        <v>358.68316831683171</v>
      </c>
      <c r="L49" s="27">
        <f t="shared" si="7"/>
        <v>3.5868316831683171E-4</v>
      </c>
      <c r="M49" s="29">
        <f t="shared" si="8"/>
        <v>4.7762865441819992E-3</v>
      </c>
      <c r="N49" s="27">
        <f t="shared" si="9"/>
        <v>1.5113071416569954E-6</v>
      </c>
      <c r="O49" s="21">
        <f t="shared" si="10"/>
        <v>2.032E-3</v>
      </c>
      <c r="P49" s="21">
        <v>7.0840480334740597E-11</v>
      </c>
      <c r="Q49" s="2">
        <v>0.31</v>
      </c>
      <c r="R49" s="27">
        <f t="shared" si="11"/>
        <v>131000</v>
      </c>
      <c r="S49" s="2">
        <f t="shared" si="12"/>
        <v>5.1940208761751296E-3</v>
      </c>
      <c r="T49" s="11">
        <v>0.1</v>
      </c>
      <c r="U49" s="30">
        <f t="shared" si="13"/>
        <v>110000.00000000001</v>
      </c>
      <c r="V49" s="30">
        <f t="shared" si="1"/>
        <v>39.455148514851494</v>
      </c>
      <c r="W49" s="11">
        <f t="shared" si="14"/>
        <v>2463.3271045325641</v>
      </c>
      <c r="X49" s="9">
        <f t="shared" si="15"/>
        <v>6.107020406901946E-14</v>
      </c>
      <c r="Y49" s="9">
        <f t="shared" si="16"/>
        <v>36776476890.363518</v>
      </c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</row>
    <row r="50" spans="1:76" s="4" customFormat="1" x14ac:dyDescent="0.3">
      <c r="A50" s="26">
        <v>144</v>
      </c>
      <c r="B50" s="26">
        <f t="shared" si="2"/>
        <v>2.4</v>
      </c>
      <c r="C50" s="26">
        <v>20</v>
      </c>
      <c r="D50" s="26">
        <f t="shared" si="0"/>
        <v>29.146000000000001</v>
      </c>
      <c r="E50" s="26">
        <f t="shared" si="3"/>
        <v>4.8576666666666667E-7</v>
      </c>
      <c r="F50" s="26">
        <v>21.1</v>
      </c>
      <c r="G50" s="26">
        <f t="shared" si="4"/>
        <v>294.10000000000002</v>
      </c>
      <c r="H50" s="26">
        <v>101.3</v>
      </c>
      <c r="I50" s="26">
        <f t="shared" si="5"/>
        <v>101300</v>
      </c>
      <c r="J50" s="26">
        <f t="shared" si="6"/>
        <v>2.0124824921938581E-5</v>
      </c>
      <c r="K50" s="20">
        <v>349.69801980198025</v>
      </c>
      <c r="L50" s="27">
        <f t="shared" si="7"/>
        <v>3.4969801980198027E-4</v>
      </c>
      <c r="M50" s="29">
        <f t="shared" si="8"/>
        <v>4.7762865441819992E-3</v>
      </c>
      <c r="N50" s="27">
        <f t="shared" si="9"/>
        <v>1.4734483283118739E-6</v>
      </c>
      <c r="O50" s="21">
        <f t="shared" si="10"/>
        <v>2.032E-3</v>
      </c>
      <c r="P50" s="21">
        <v>7.0840480334740597E-11</v>
      </c>
      <c r="Q50" s="2">
        <v>0.31</v>
      </c>
      <c r="R50" s="27">
        <f t="shared" si="11"/>
        <v>131000</v>
      </c>
      <c r="S50" s="2">
        <f t="shared" si="12"/>
        <v>5.1940208761751296E-3</v>
      </c>
      <c r="T50" s="11">
        <v>0.1</v>
      </c>
      <c r="U50" s="30">
        <f t="shared" si="13"/>
        <v>110000.00000000001</v>
      </c>
      <c r="V50" s="30">
        <f t="shared" si="1"/>
        <v>38.466782178217834</v>
      </c>
      <c r="W50" s="11">
        <f t="shared" si="14"/>
        <v>2349.030110168731</v>
      </c>
      <c r="X50" s="9">
        <f t="shared" si="15"/>
        <v>5.9487475172327726E-14</v>
      </c>
      <c r="Y50" s="9">
        <f t="shared" si="16"/>
        <v>35823357548.775757</v>
      </c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</row>
    <row r="51" spans="1:76" s="4" customFormat="1" x14ac:dyDescent="0.3">
      <c r="A51" s="26">
        <v>147</v>
      </c>
      <c r="B51" s="26">
        <f t="shared" si="2"/>
        <v>2.4500000000000002</v>
      </c>
      <c r="C51" s="26">
        <v>20</v>
      </c>
      <c r="D51" s="26">
        <f t="shared" si="0"/>
        <v>29.146000000000001</v>
      </c>
      <c r="E51" s="26">
        <f t="shared" si="3"/>
        <v>4.8576666666666667E-7</v>
      </c>
      <c r="F51" s="26">
        <v>21.1</v>
      </c>
      <c r="G51" s="26">
        <f t="shared" si="4"/>
        <v>294.10000000000002</v>
      </c>
      <c r="H51" s="26">
        <v>101.3</v>
      </c>
      <c r="I51" s="26">
        <f t="shared" si="5"/>
        <v>101300</v>
      </c>
      <c r="J51" s="26">
        <f t="shared" si="6"/>
        <v>2.0124824921938581E-5</v>
      </c>
      <c r="K51" s="20">
        <v>352.49504950495049</v>
      </c>
      <c r="L51" s="27">
        <f t="shared" si="7"/>
        <v>3.5249504950495046E-4</v>
      </c>
      <c r="M51" s="29">
        <f t="shared" si="8"/>
        <v>4.7762865441819992E-3</v>
      </c>
      <c r="N51" s="27">
        <f t="shared" si="9"/>
        <v>1.4852335787471318E-6</v>
      </c>
      <c r="O51" s="21">
        <f t="shared" si="10"/>
        <v>2.032E-3</v>
      </c>
      <c r="P51" s="21">
        <v>7.0840480334740597E-11</v>
      </c>
      <c r="Q51" s="2">
        <v>0.31</v>
      </c>
      <c r="R51" s="27">
        <f t="shared" si="11"/>
        <v>131000</v>
      </c>
      <c r="S51" s="2">
        <f t="shared" si="12"/>
        <v>5.1940208761751296E-3</v>
      </c>
      <c r="T51" s="11">
        <v>0.1</v>
      </c>
      <c r="U51" s="30">
        <f t="shared" si="13"/>
        <v>110000.00000000001</v>
      </c>
      <c r="V51" s="30">
        <f t="shared" si="1"/>
        <v>38.774455445544554</v>
      </c>
      <c r="W51" s="11">
        <f t="shared" si="14"/>
        <v>2384.3296678380907</v>
      </c>
      <c r="X51" s="9">
        <f t="shared" si="15"/>
        <v>5.9979738037254061E-14</v>
      </c>
      <c r="Y51" s="9">
        <f t="shared" si="16"/>
        <v>36119798246.034393</v>
      </c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</row>
    <row r="52" spans="1:76" s="4" customFormat="1" x14ac:dyDescent="0.3">
      <c r="A52" s="26">
        <v>150</v>
      </c>
      <c r="B52" s="26">
        <f t="shared" si="2"/>
        <v>2.5</v>
      </c>
      <c r="C52" s="26">
        <v>20</v>
      </c>
      <c r="D52" s="26">
        <f t="shared" si="0"/>
        <v>29.146000000000001</v>
      </c>
      <c r="E52" s="26">
        <f t="shared" si="3"/>
        <v>4.8576666666666667E-7</v>
      </c>
      <c r="F52" s="26">
        <v>21.1</v>
      </c>
      <c r="G52" s="26">
        <f t="shared" si="4"/>
        <v>294.10000000000002</v>
      </c>
      <c r="H52" s="26">
        <v>101.3</v>
      </c>
      <c r="I52" s="26">
        <f t="shared" si="5"/>
        <v>101300</v>
      </c>
      <c r="J52" s="26">
        <f t="shared" si="6"/>
        <v>2.0124824921938581E-5</v>
      </c>
      <c r="K52" s="20">
        <v>356.95049504950498</v>
      </c>
      <c r="L52" s="27">
        <f t="shared" si="7"/>
        <v>3.56950495049505E-4</v>
      </c>
      <c r="M52" s="29">
        <f t="shared" si="8"/>
        <v>4.7762865441819992E-3</v>
      </c>
      <c r="N52" s="27">
        <f t="shared" si="9"/>
        <v>1.5040065440422336E-6</v>
      </c>
      <c r="O52" s="21">
        <f t="shared" si="10"/>
        <v>2.032E-3</v>
      </c>
      <c r="P52" s="21">
        <v>7.0840480334740597E-11</v>
      </c>
      <c r="Q52" s="2">
        <v>0.31</v>
      </c>
      <c r="R52" s="27">
        <f t="shared" si="11"/>
        <v>131000</v>
      </c>
      <c r="S52" s="2">
        <f t="shared" si="12"/>
        <v>5.1940208761751296E-3</v>
      </c>
      <c r="T52" s="11">
        <v>0.1</v>
      </c>
      <c r="U52" s="30">
        <f t="shared" si="13"/>
        <v>110000.00000000001</v>
      </c>
      <c r="V52" s="30">
        <f t="shared" si="1"/>
        <v>39.264554455445555</v>
      </c>
      <c r="W52" s="11">
        <f t="shared" si="14"/>
        <v>2441.0827570342831</v>
      </c>
      <c r="X52" s="9">
        <f t="shared" si="15"/>
        <v>6.0764679379615791E-14</v>
      </c>
      <c r="Y52" s="9">
        <f t="shared" si="16"/>
        <v>36592489922.404633</v>
      </c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</row>
    <row r="53" spans="1:76" s="4" customFormat="1" x14ac:dyDescent="0.3">
      <c r="A53" s="26">
        <v>153</v>
      </c>
      <c r="B53" s="26">
        <f t="shared" si="2"/>
        <v>2.5499999999999998</v>
      </c>
      <c r="C53" s="26">
        <v>20</v>
      </c>
      <c r="D53" s="26">
        <f t="shared" si="0"/>
        <v>29.146000000000001</v>
      </c>
      <c r="E53" s="26">
        <f t="shared" si="3"/>
        <v>4.8576666666666667E-7</v>
      </c>
      <c r="F53" s="26">
        <v>21.1</v>
      </c>
      <c r="G53" s="26">
        <f t="shared" si="4"/>
        <v>294.10000000000002</v>
      </c>
      <c r="H53" s="26">
        <v>101.3</v>
      </c>
      <c r="I53" s="26">
        <f t="shared" si="5"/>
        <v>101300</v>
      </c>
      <c r="J53" s="26">
        <f t="shared" si="6"/>
        <v>2.0124824921938581E-5</v>
      </c>
      <c r="K53" s="20">
        <v>359.32673267326732</v>
      </c>
      <c r="L53" s="27">
        <f t="shared" si="7"/>
        <v>3.5932673267326731E-4</v>
      </c>
      <c r="M53" s="29">
        <f t="shared" si="8"/>
        <v>4.7762865441819992E-3</v>
      </c>
      <c r="N53" s="27">
        <f t="shared" si="9"/>
        <v>1.5140187921996209E-6</v>
      </c>
      <c r="O53" s="21">
        <f t="shared" si="10"/>
        <v>2.032E-3</v>
      </c>
      <c r="P53" s="21">
        <v>7.0840480334740597E-11</v>
      </c>
      <c r="Q53" s="2">
        <v>0.31</v>
      </c>
      <c r="R53" s="27">
        <f t="shared" si="11"/>
        <v>131000</v>
      </c>
      <c r="S53" s="2">
        <f t="shared" si="12"/>
        <v>5.1940208761751296E-3</v>
      </c>
      <c r="T53" s="11">
        <v>0.1</v>
      </c>
      <c r="U53" s="30">
        <f t="shared" si="13"/>
        <v>110000.00000000001</v>
      </c>
      <c r="V53" s="30">
        <f t="shared" si="1"/>
        <v>39.525940594059406</v>
      </c>
      <c r="W53" s="11">
        <f t="shared" si="14"/>
        <v>2471.6140578062586</v>
      </c>
      <c r="X53" s="9">
        <f t="shared" si="15"/>
        <v>6.1183723392769354E-14</v>
      </c>
      <c r="Y53" s="9">
        <f t="shared" si="16"/>
        <v>36844838227.12571</v>
      </c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</row>
    <row r="54" spans="1:76" s="4" customFormat="1" x14ac:dyDescent="0.3">
      <c r="A54" s="26">
        <v>156</v>
      </c>
      <c r="B54" s="26">
        <f t="shared" si="2"/>
        <v>2.6</v>
      </c>
      <c r="C54" s="26">
        <v>20</v>
      </c>
      <c r="D54" s="26">
        <f t="shared" si="0"/>
        <v>29.146000000000001</v>
      </c>
      <c r="E54" s="26">
        <f t="shared" si="3"/>
        <v>4.8576666666666667E-7</v>
      </c>
      <c r="F54" s="26">
        <v>21.1</v>
      </c>
      <c r="G54" s="26">
        <f t="shared" si="4"/>
        <v>294.10000000000002</v>
      </c>
      <c r="H54" s="26">
        <v>101.3</v>
      </c>
      <c r="I54" s="26">
        <f t="shared" si="5"/>
        <v>101300</v>
      </c>
      <c r="J54" s="26">
        <f t="shared" si="6"/>
        <v>2.0124824921938581E-5</v>
      </c>
      <c r="K54" s="20">
        <v>361.0594059405941</v>
      </c>
      <c r="L54" s="27">
        <f t="shared" si="7"/>
        <v>3.6105940594059413E-4</v>
      </c>
      <c r="M54" s="29">
        <f t="shared" si="8"/>
        <v>4.7762865441819992E-3</v>
      </c>
      <c r="N54" s="27">
        <f t="shared" si="9"/>
        <v>1.5213193898143833E-6</v>
      </c>
      <c r="O54" s="21">
        <f t="shared" si="10"/>
        <v>2.032E-3</v>
      </c>
      <c r="P54" s="21">
        <v>7.0840480334740597E-11</v>
      </c>
      <c r="Q54" s="2">
        <v>0.31</v>
      </c>
      <c r="R54" s="27">
        <f t="shared" si="11"/>
        <v>131000</v>
      </c>
      <c r="S54" s="2">
        <f t="shared" si="12"/>
        <v>5.1940208761751296E-3</v>
      </c>
      <c r="T54" s="11">
        <v>0.1</v>
      </c>
      <c r="U54" s="30">
        <f t="shared" si="13"/>
        <v>110000.00000000001</v>
      </c>
      <c r="V54" s="30">
        <f t="shared" si="1"/>
        <v>39.716534653465359</v>
      </c>
      <c r="W54" s="11">
        <f t="shared" si="14"/>
        <v>2493.9917539354519</v>
      </c>
      <c r="X54" s="9">
        <f t="shared" si="15"/>
        <v>6.1489457013523766E-14</v>
      </c>
      <c r="Y54" s="9">
        <f t="shared" si="16"/>
        <v>37028951013.544014</v>
      </c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</row>
    <row r="55" spans="1:76" s="4" customFormat="1" x14ac:dyDescent="0.3">
      <c r="A55" s="26">
        <v>159</v>
      </c>
      <c r="B55" s="26">
        <f t="shared" si="2"/>
        <v>2.65</v>
      </c>
      <c r="C55" s="26">
        <v>20</v>
      </c>
      <c r="D55" s="26">
        <f t="shared" si="0"/>
        <v>29.146000000000001</v>
      </c>
      <c r="E55" s="26">
        <f t="shared" si="3"/>
        <v>4.8576666666666667E-7</v>
      </c>
      <c r="F55" s="26">
        <v>21.1</v>
      </c>
      <c r="G55" s="26">
        <f t="shared" si="4"/>
        <v>294.10000000000002</v>
      </c>
      <c r="H55" s="26">
        <v>101.3</v>
      </c>
      <c r="I55" s="26">
        <f t="shared" si="5"/>
        <v>101300</v>
      </c>
      <c r="J55" s="26">
        <f t="shared" si="6"/>
        <v>2.0124824921938581E-5</v>
      </c>
      <c r="K55" s="20">
        <v>355.96039603960401</v>
      </c>
      <c r="L55" s="27">
        <f t="shared" si="7"/>
        <v>3.55960396039604E-4</v>
      </c>
      <c r="M55" s="29">
        <f t="shared" si="8"/>
        <v>4.7762865441819992E-3</v>
      </c>
      <c r="N55" s="27">
        <f t="shared" si="9"/>
        <v>1.4998347739766555E-6</v>
      </c>
      <c r="O55" s="21">
        <f t="shared" si="10"/>
        <v>2.032E-3</v>
      </c>
      <c r="P55" s="21">
        <v>7.0840480334740597E-11</v>
      </c>
      <c r="Q55" s="2">
        <v>0.31</v>
      </c>
      <c r="R55" s="27">
        <f t="shared" si="11"/>
        <v>131000</v>
      </c>
      <c r="S55" s="2">
        <f t="shared" si="12"/>
        <v>5.1940208761751296E-3</v>
      </c>
      <c r="T55" s="11">
        <v>0.1</v>
      </c>
      <c r="U55" s="30">
        <f t="shared" si="13"/>
        <v>110000.00000000001</v>
      </c>
      <c r="V55" s="30">
        <f t="shared" si="1"/>
        <v>39.155643564356446</v>
      </c>
      <c r="W55" s="11">
        <f t="shared" si="14"/>
        <v>2428.4153679230517</v>
      </c>
      <c r="X55" s="9">
        <f t="shared" si="15"/>
        <v>6.0590161886397169E-14</v>
      </c>
      <c r="Y55" s="9">
        <f t="shared" si="16"/>
        <v>36487395487.98838</v>
      </c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</row>
    <row r="56" spans="1:76" s="4" customFormat="1" x14ac:dyDescent="0.3">
      <c r="A56" s="26">
        <v>162</v>
      </c>
      <c r="B56" s="26">
        <f t="shared" si="2"/>
        <v>2.7</v>
      </c>
      <c r="C56" s="26">
        <v>20</v>
      </c>
      <c r="D56" s="26">
        <f t="shared" si="0"/>
        <v>29.146000000000001</v>
      </c>
      <c r="E56" s="26">
        <f t="shared" si="3"/>
        <v>4.8576666666666667E-7</v>
      </c>
      <c r="F56" s="26">
        <v>21.1</v>
      </c>
      <c r="G56" s="26">
        <f t="shared" si="4"/>
        <v>294.10000000000002</v>
      </c>
      <c r="H56" s="26">
        <v>101.3</v>
      </c>
      <c r="I56" s="26">
        <f t="shared" si="5"/>
        <v>101300</v>
      </c>
      <c r="J56" s="26">
        <f t="shared" si="6"/>
        <v>2.0124824921938581E-5</v>
      </c>
      <c r="K56" s="20">
        <v>358.60891089108912</v>
      </c>
      <c r="L56" s="27">
        <f t="shared" si="7"/>
        <v>3.5860891089108913E-4</v>
      </c>
      <c r="M56" s="29">
        <f t="shared" si="8"/>
        <v>4.7762865441819992E-3</v>
      </c>
      <c r="N56" s="27">
        <f t="shared" si="9"/>
        <v>1.5109942589020769E-6</v>
      </c>
      <c r="O56" s="21">
        <f t="shared" si="10"/>
        <v>2.032E-3</v>
      </c>
      <c r="P56" s="21">
        <v>7.0840480334740597E-11</v>
      </c>
      <c r="Q56" s="2">
        <v>0.31</v>
      </c>
      <c r="R56" s="27">
        <f t="shared" si="11"/>
        <v>131000</v>
      </c>
      <c r="S56" s="2">
        <f t="shared" si="12"/>
        <v>5.1940208761751296E-3</v>
      </c>
      <c r="T56" s="11">
        <v>0.1</v>
      </c>
      <c r="U56" s="30">
        <f t="shared" si="13"/>
        <v>110000.00000000001</v>
      </c>
      <c r="V56" s="30">
        <f t="shared" si="1"/>
        <v>39.446980198019808</v>
      </c>
      <c r="W56" s="11">
        <f t="shared" si="14"/>
        <v>2462.3717808260149</v>
      </c>
      <c r="X56" s="9">
        <f t="shared" si="15"/>
        <v>6.1057107037450753E-14</v>
      </c>
      <c r="Y56" s="9">
        <f t="shared" si="16"/>
        <v>36768589857.952843</v>
      </c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</row>
    <row r="57" spans="1:76" s="4" customFormat="1" x14ac:dyDescent="0.3">
      <c r="A57" s="26">
        <v>165</v>
      </c>
      <c r="B57" s="26">
        <f t="shared" si="2"/>
        <v>2.75</v>
      </c>
      <c r="C57" s="26">
        <v>20</v>
      </c>
      <c r="D57" s="26">
        <f t="shared" si="0"/>
        <v>29.146000000000001</v>
      </c>
      <c r="E57" s="26">
        <f t="shared" si="3"/>
        <v>4.8576666666666667E-7</v>
      </c>
      <c r="F57" s="26">
        <v>21.1</v>
      </c>
      <c r="G57" s="26">
        <f t="shared" si="4"/>
        <v>294.10000000000002</v>
      </c>
      <c r="H57" s="26">
        <v>101.3</v>
      </c>
      <c r="I57" s="26">
        <f t="shared" si="5"/>
        <v>101300</v>
      </c>
      <c r="J57" s="26">
        <f t="shared" si="6"/>
        <v>2.0124824921938581E-5</v>
      </c>
      <c r="K57" s="20">
        <v>360.14356435643566</v>
      </c>
      <c r="L57" s="27">
        <f t="shared" si="7"/>
        <v>3.6014356435643566E-4</v>
      </c>
      <c r="M57" s="29">
        <f t="shared" si="8"/>
        <v>4.7762865441819992E-3</v>
      </c>
      <c r="N57" s="27">
        <f t="shared" si="9"/>
        <v>1.5174605025037232E-6</v>
      </c>
      <c r="O57" s="21">
        <f t="shared" si="10"/>
        <v>2.032E-3</v>
      </c>
      <c r="P57" s="21">
        <v>7.0840480334740597E-11</v>
      </c>
      <c r="Q57" s="2">
        <v>0.31</v>
      </c>
      <c r="R57" s="27">
        <f t="shared" si="11"/>
        <v>131000</v>
      </c>
      <c r="S57" s="2">
        <f t="shared" si="12"/>
        <v>5.1940208761751296E-3</v>
      </c>
      <c r="T57" s="11">
        <v>0.1</v>
      </c>
      <c r="U57" s="30">
        <f t="shared" si="13"/>
        <v>110000.00000000001</v>
      </c>
      <c r="V57" s="30">
        <f t="shared" si="1"/>
        <v>39.615792079207928</v>
      </c>
      <c r="W57" s="11">
        <f t="shared" si="14"/>
        <v>2482.1514305735091</v>
      </c>
      <c r="X57" s="9">
        <f t="shared" si="15"/>
        <v>6.1327835911583625E-14</v>
      </c>
      <c r="Y57" s="9">
        <f t="shared" si="16"/>
        <v>36931622785.955658</v>
      </c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</row>
    <row r="58" spans="1:76" s="4" customFormat="1" x14ac:dyDescent="0.3">
      <c r="A58" s="26">
        <v>168</v>
      </c>
      <c r="B58" s="26">
        <f t="shared" si="2"/>
        <v>2.8</v>
      </c>
      <c r="C58" s="26">
        <v>20</v>
      </c>
      <c r="D58" s="26">
        <f t="shared" si="0"/>
        <v>29.146000000000001</v>
      </c>
      <c r="E58" s="26">
        <f t="shared" si="3"/>
        <v>4.8576666666666667E-7</v>
      </c>
      <c r="F58" s="26">
        <v>21.1</v>
      </c>
      <c r="G58" s="26">
        <f t="shared" si="4"/>
        <v>294.10000000000002</v>
      </c>
      <c r="H58" s="26">
        <v>101.3</v>
      </c>
      <c r="I58" s="26">
        <f t="shared" si="5"/>
        <v>101300</v>
      </c>
      <c r="J58" s="26">
        <f t="shared" si="6"/>
        <v>2.0124824921938581E-5</v>
      </c>
      <c r="K58" s="20">
        <v>352.89108910891093</v>
      </c>
      <c r="L58" s="27">
        <f t="shared" si="7"/>
        <v>3.5289108910891093E-4</v>
      </c>
      <c r="M58" s="29">
        <f t="shared" si="8"/>
        <v>4.7762865441819992E-3</v>
      </c>
      <c r="N58" s="27">
        <f t="shared" si="9"/>
        <v>1.4869022867733633E-6</v>
      </c>
      <c r="O58" s="21">
        <f t="shared" si="10"/>
        <v>2.032E-3</v>
      </c>
      <c r="P58" s="21">
        <v>7.0840480334740597E-11</v>
      </c>
      <c r="Q58" s="2">
        <v>0.31</v>
      </c>
      <c r="R58" s="27">
        <f t="shared" si="11"/>
        <v>131000</v>
      </c>
      <c r="S58" s="2">
        <f t="shared" si="12"/>
        <v>5.1940208761751296E-3</v>
      </c>
      <c r="T58" s="11">
        <v>0.1</v>
      </c>
      <c r="U58" s="30">
        <f t="shared" si="13"/>
        <v>110000.00000000001</v>
      </c>
      <c r="V58" s="30">
        <f t="shared" si="1"/>
        <v>38.818019801980206</v>
      </c>
      <c r="W58" s="11">
        <f t="shared" si="14"/>
        <v>2389.3483345803352</v>
      </c>
      <c r="X58" s="9">
        <f t="shared" si="15"/>
        <v>6.004947038465181E-14</v>
      </c>
      <c r="Y58" s="9">
        <f t="shared" si="16"/>
        <v>36161791065.637321</v>
      </c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</row>
    <row r="59" spans="1:76" s="4" customFormat="1" x14ac:dyDescent="0.3">
      <c r="A59" s="26">
        <v>171</v>
      </c>
      <c r="B59" s="26">
        <f t="shared" si="2"/>
        <v>2.85</v>
      </c>
      <c r="C59" s="26">
        <v>20</v>
      </c>
      <c r="D59" s="26">
        <f t="shared" si="0"/>
        <v>29.146000000000001</v>
      </c>
      <c r="E59" s="26">
        <f t="shared" si="3"/>
        <v>4.8576666666666667E-7</v>
      </c>
      <c r="F59" s="26">
        <v>21.1</v>
      </c>
      <c r="G59" s="26">
        <f t="shared" si="4"/>
        <v>294.10000000000002</v>
      </c>
      <c r="H59" s="26">
        <v>101.3</v>
      </c>
      <c r="I59" s="26">
        <f t="shared" si="5"/>
        <v>101300</v>
      </c>
      <c r="J59" s="26">
        <f t="shared" si="6"/>
        <v>2.0124824921938581E-5</v>
      </c>
      <c r="K59" s="20">
        <v>366.82673267326737</v>
      </c>
      <c r="L59" s="27">
        <f t="shared" si="7"/>
        <v>3.6682673267326738E-4</v>
      </c>
      <c r="M59" s="29">
        <f t="shared" si="8"/>
        <v>4.7762865441819992E-3</v>
      </c>
      <c r="N59" s="27">
        <f t="shared" si="9"/>
        <v>1.5456199504463758E-6</v>
      </c>
      <c r="O59" s="21">
        <f t="shared" si="10"/>
        <v>2.032E-3</v>
      </c>
      <c r="P59" s="21">
        <v>7.0840480334740597E-11</v>
      </c>
      <c r="Q59" s="2">
        <v>0.31</v>
      </c>
      <c r="R59" s="27">
        <f t="shared" si="11"/>
        <v>131000</v>
      </c>
      <c r="S59" s="2">
        <f t="shared" si="12"/>
        <v>5.1940208761751296E-3</v>
      </c>
      <c r="T59" s="11">
        <v>0.1</v>
      </c>
      <c r="U59" s="30">
        <f t="shared" si="13"/>
        <v>110000.00000000001</v>
      </c>
      <c r="V59" s="30">
        <f t="shared" si="1"/>
        <v>40.350940594059416</v>
      </c>
      <c r="W59" s="11">
        <f t="shared" si="14"/>
        <v>2569.1776588846001</v>
      </c>
      <c r="X59" s="9">
        <f t="shared" si="15"/>
        <v>6.2508221491634829E-14</v>
      </c>
      <c r="Y59" s="9">
        <f t="shared" si="16"/>
        <v>37642450982.262497</v>
      </c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</row>
    <row r="60" spans="1:76" s="4" customFormat="1" x14ac:dyDescent="0.3">
      <c r="A60" s="26">
        <v>174</v>
      </c>
      <c r="B60" s="26">
        <f t="shared" si="2"/>
        <v>2.9</v>
      </c>
      <c r="C60" s="26">
        <v>20</v>
      </c>
      <c r="D60" s="26">
        <f t="shared" si="0"/>
        <v>29.146000000000001</v>
      </c>
      <c r="E60" s="26">
        <f t="shared" si="3"/>
        <v>4.8576666666666667E-7</v>
      </c>
      <c r="F60" s="26">
        <v>21.1</v>
      </c>
      <c r="G60" s="26">
        <f t="shared" si="4"/>
        <v>294.10000000000002</v>
      </c>
      <c r="H60" s="26">
        <v>101.3</v>
      </c>
      <c r="I60" s="26">
        <f t="shared" si="5"/>
        <v>101300</v>
      </c>
      <c r="J60" s="26">
        <f t="shared" si="6"/>
        <v>2.0124824921938581E-5</v>
      </c>
      <c r="K60" s="20">
        <v>357.54455445544556</v>
      </c>
      <c r="L60" s="27">
        <f t="shared" si="7"/>
        <v>3.5754455445544559E-4</v>
      </c>
      <c r="M60" s="29">
        <f t="shared" si="8"/>
        <v>4.7762865441819992E-3</v>
      </c>
      <c r="N60" s="27">
        <f t="shared" si="9"/>
        <v>1.5065096060815805E-6</v>
      </c>
      <c r="O60" s="21">
        <f t="shared" si="10"/>
        <v>2.032E-3</v>
      </c>
      <c r="P60" s="21">
        <v>7.0840480334740597E-11</v>
      </c>
      <c r="Q60" s="2">
        <v>0.31</v>
      </c>
      <c r="R60" s="27">
        <f t="shared" si="11"/>
        <v>131000</v>
      </c>
      <c r="S60" s="2">
        <f t="shared" si="12"/>
        <v>5.1940208761751296E-3</v>
      </c>
      <c r="T60" s="11">
        <v>0.1</v>
      </c>
      <c r="U60" s="30">
        <f t="shared" si="13"/>
        <v>110000.00000000001</v>
      </c>
      <c r="V60" s="30">
        <f t="shared" si="1"/>
        <v>39.32990099009902</v>
      </c>
      <c r="W60" s="11">
        <f t="shared" si="14"/>
        <v>2448.6984349098507</v>
      </c>
      <c r="X60" s="9">
        <f t="shared" si="15"/>
        <v>6.086941360281833E-14</v>
      </c>
      <c r="Y60" s="9">
        <f t="shared" si="16"/>
        <v>36655560871.617203</v>
      </c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</row>
    <row r="61" spans="1:76" s="4" customFormat="1" x14ac:dyDescent="0.3">
      <c r="A61" s="26">
        <v>177</v>
      </c>
      <c r="B61" s="26">
        <f t="shared" si="2"/>
        <v>2.95</v>
      </c>
      <c r="C61" s="26">
        <v>20</v>
      </c>
      <c r="D61" s="26">
        <f t="shared" si="0"/>
        <v>29.146000000000001</v>
      </c>
      <c r="E61" s="26">
        <f t="shared" si="3"/>
        <v>4.8576666666666667E-7</v>
      </c>
      <c r="F61" s="26">
        <v>21.1</v>
      </c>
      <c r="G61" s="26">
        <f t="shared" si="4"/>
        <v>294.10000000000002</v>
      </c>
      <c r="H61" s="26">
        <v>101.3</v>
      </c>
      <c r="I61" s="26">
        <f t="shared" si="5"/>
        <v>101300</v>
      </c>
      <c r="J61" s="26">
        <f t="shared" si="6"/>
        <v>2.0124824921938581E-5</v>
      </c>
      <c r="K61" s="20">
        <v>359.32673267326732</v>
      </c>
      <c r="L61" s="27">
        <f t="shared" si="7"/>
        <v>3.5932673267326731E-4</v>
      </c>
      <c r="M61" s="29">
        <f t="shared" si="8"/>
        <v>4.7762865441819992E-3</v>
      </c>
      <c r="N61" s="27">
        <f t="shared" si="9"/>
        <v>1.5140187921996209E-6</v>
      </c>
      <c r="O61" s="21">
        <f t="shared" si="10"/>
        <v>2.032E-3</v>
      </c>
      <c r="P61" s="21">
        <v>7.0840480334740597E-11</v>
      </c>
      <c r="Q61" s="2">
        <v>0.31</v>
      </c>
      <c r="R61" s="27">
        <f t="shared" si="11"/>
        <v>131000</v>
      </c>
      <c r="S61" s="2">
        <f t="shared" si="12"/>
        <v>5.1940208761751296E-3</v>
      </c>
      <c r="T61" s="11">
        <v>0.1</v>
      </c>
      <c r="U61" s="30">
        <f t="shared" si="13"/>
        <v>110000.00000000001</v>
      </c>
      <c r="V61" s="30">
        <f t="shared" si="1"/>
        <v>39.525940594059406</v>
      </c>
      <c r="W61" s="11">
        <f t="shared" si="14"/>
        <v>2471.6140578062586</v>
      </c>
      <c r="X61" s="9">
        <f t="shared" si="15"/>
        <v>6.1183723392769354E-14</v>
      </c>
      <c r="Y61" s="9">
        <f t="shared" si="16"/>
        <v>36844838227.12571</v>
      </c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</row>
    <row r="62" spans="1:76" s="4" customFormat="1" x14ac:dyDescent="0.3">
      <c r="A62" s="26">
        <v>180</v>
      </c>
      <c r="B62" s="26">
        <f t="shared" si="2"/>
        <v>3</v>
      </c>
      <c r="C62" s="26">
        <v>20</v>
      </c>
      <c r="D62" s="26">
        <f t="shared" si="0"/>
        <v>29.146000000000001</v>
      </c>
      <c r="E62" s="26">
        <f t="shared" si="3"/>
        <v>4.8576666666666667E-7</v>
      </c>
      <c r="F62" s="26">
        <v>21.1</v>
      </c>
      <c r="G62" s="26">
        <f t="shared" si="4"/>
        <v>294.10000000000002</v>
      </c>
      <c r="H62" s="26">
        <v>101.3</v>
      </c>
      <c r="I62" s="26">
        <f t="shared" si="5"/>
        <v>101300</v>
      </c>
      <c r="J62" s="26">
        <f t="shared" si="6"/>
        <v>2.0124824921938581E-5</v>
      </c>
      <c r="K62" s="20">
        <v>351.50495049504957</v>
      </c>
      <c r="L62" s="27">
        <f t="shared" si="7"/>
        <v>3.5150495049504957E-4</v>
      </c>
      <c r="M62" s="29">
        <f t="shared" si="8"/>
        <v>4.7762865441819992E-3</v>
      </c>
      <c r="N62" s="27">
        <f t="shared" si="9"/>
        <v>1.4810618086815539E-6</v>
      </c>
      <c r="O62" s="21">
        <f t="shared" si="10"/>
        <v>2.032E-3</v>
      </c>
      <c r="P62" s="21">
        <v>7.0840480334740597E-11</v>
      </c>
      <c r="Q62" s="2">
        <v>0.31</v>
      </c>
      <c r="R62" s="27">
        <f t="shared" si="11"/>
        <v>131000</v>
      </c>
      <c r="S62" s="2">
        <f t="shared" si="12"/>
        <v>5.1940208761751296E-3</v>
      </c>
      <c r="T62" s="11">
        <v>0.1</v>
      </c>
      <c r="U62" s="30">
        <f t="shared" si="13"/>
        <v>110000.00000000001</v>
      </c>
      <c r="V62" s="30">
        <f t="shared" si="1"/>
        <v>38.665544554455458</v>
      </c>
      <c r="W62" s="11">
        <f t="shared" si="14"/>
        <v>2371.8052463837976</v>
      </c>
      <c r="X62" s="9">
        <f t="shared" si="15"/>
        <v>5.9805441318155624E-14</v>
      </c>
      <c r="Y62" s="9">
        <f t="shared" si="16"/>
        <v>36014836761.79332</v>
      </c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</row>
    <row r="63" spans="1:76" s="4" customFormat="1" x14ac:dyDescent="0.3">
      <c r="A63" s="26">
        <v>183</v>
      </c>
      <c r="B63" s="26">
        <f t="shared" si="2"/>
        <v>3.05</v>
      </c>
      <c r="C63" s="26">
        <v>20</v>
      </c>
      <c r="D63" s="26">
        <f t="shared" si="0"/>
        <v>29.146000000000001</v>
      </c>
      <c r="E63" s="26">
        <f t="shared" si="3"/>
        <v>4.8576666666666667E-7</v>
      </c>
      <c r="F63" s="26">
        <v>21.1</v>
      </c>
      <c r="G63" s="26">
        <f t="shared" si="4"/>
        <v>294.10000000000002</v>
      </c>
      <c r="H63" s="26">
        <v>101.3</v>
      </c>
      <c r="I63" s="26">
        <f t="shared" si="5"/>
        <v>101300</v>
      </c>
      <c r="J63" s="26">
        <f t="shared" si="6"/>
        <v>2.0124824921938581E-5</v>
      </c>
      <c r="K63" s="20">
        <v>356.50495049504957</v>
      </c>
      <c r="L63" s="27">
        <f t="shared" si="7"/>
        <v>3.5650495049504958E-4</v>
      </c>
      <c r="M63" s="29">
        <f t="shared" si="8"/>
        <v>4.7762865441819992E-3</v>
      </c>
      <c r="N63" s="27">
        <f t="shared" si="9"/>
        <v>1.5021292475127237E-6</v>
      </c>
      <c r="O63" s="21">
        <f t="shared" si="10"/>
        <v>2.032E-3</v>
      </c>
      <c r="P63" s="21">
        <v>7.0840480334740597E-11</v>
      </c>
      <c r="Q63" s="2">
        <v>0.31</v>
      </c>
      <c r="R63" s="27">
        <f t="shared" si="11"/>
        <v>131000</v>
      </c>
      <c r="S63" s="2">
        <f t="shared" si="12"/>
        <v>5.1940208761751296E-3</v>
      </c>
      <c r="T63" s="11">
        <v>0.1</v>
      </c>
      <c r="U63" s="30">
        <f t="shared" si="13"/>
        <v>110000.00000000001</v>
      </c>
      <c r="V63" s="30">
        <f t="shared" si="1"/>
        <v>39.215544554455462</v>
      </c>
      <c r="W63" s="11">
        <f t="shared" si="14"/>
        <v>2435.3785015475087</v>
      </c>
      <c r="X63" s="9">
        <f t="shared" si="15"/>
        <v>6.0686140396627215E-14</v>
      </c>
      <c r="Y63" s="9">
        <f t="shared" si="16"/>
        <v>36545193746.848907</v>
      </c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</row>
    <row r="64" spans="1:76" s="4" customFormat="1" x14ac:dyDescent="0.3">
      <c r="A64" s="26">
        <v>186</v>
      </c>
      <c r="B64" s="26">
        <f t="shared" si="2"/>
        <v>3.1</v>
      </c>
      <c r="C64" s="26">
        <v>20</v>
      </c>
      <c r="D64" s="26">
        <f t="shared" si="0"/>
        <v>29.146000000000001</v>
      </c>
      <c r="E64" s="26">
        <f t="shared" si="3"/>
        <v>4.8576666666666667E-7</v>
      </c>
      <c r="F64" s="26">
        <v>21.1</v>
      </c>
      <c r="G64" s="26">
        <f t="shared" si="4"/>
        <v>294.10000000000002</v>
      </c>
      <c r="H64" s="26">
        <v>101.3</v>
      </c>
      <c r="I64" s="26">
        <f t="shared" si="5"/>
        <v>101300</v>
      </c>
      <c r="J64" s="26">
        <f t="shared" si="6"/>
        <v>2.0124824921938581E-5</v>
      </c>
      <c r="K64" s="20">
        <v>352.32178217821786</v>
      </c>
      <c r="L64" s="27">
        <f t="shared" si="7"/>
        <v>3.5232178217821787E-4</v>
      </c>
      <c r="M64" s="29">
        <f t="shared" si="8"/>
        <v>4.7762865441819992E-3</v>
      </c>
      <c r="N64" s="27">
        <f t="shared" si="9"/>
        <v>1.4845035189856558E-6</v>
      </c>
      <c r="O64" s="21">
        <f t="shared" si="10"/>
        <v>2.032E-3</v>
      </c>
      <c r="P64" s="21">
        <v>7.0840480334740597E-11</v>
      </c>
      <c r="Q64" s="2">
        <v>0.31</v>
      </c>
      <c r="R64" s="27">
        <f t="shared" si="11"/>
        <v>131000</v>
      </c>
      <c r="S64" s="2">
        <f t="shared" si="12"/>
        <v>5.1940208761751296E-3</v>
      </c>
      <c r="T64" s="11">
        <v>0.1</v>
      </c>
      <c r="U64" s="30">
        <f t="shared" si="13"/>
        <v>110000.00000000001</v>
      </c>
      <c r="V64" s="30">
        <f t="shared" si="1"/>
        <v>38.755396039603973</v>
      </c>
      <c r="W64" s="11">
        <f t="shared" si="14"/>
        <v>2382.1355999655257</v>
      </c>
      <c r="X64" s="9">
        <f t="shared" si="15"/>
        <v>5.994923259171198E-14</v>
      </c>
      <c r="Y64" s="9">
        <f t="shared" si="16"/>
        <v>36101427866.728958</v>
      </c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</row>
    <row r="65" spans="1:76" s="4" customFormat="1" x14ac:dyDescent="0.3">
      <c r="A65" s="26">
        <v>189</v>
      </c>
      <c r="B65" s="26">
        <f t="shared" si="2"/>
        <v>3.15</v>
      </c>
      <c r="C65" s="26">
        <v>20</v>
      </c>
      <c r="D65" s="26">
        <f t="shared" si="0"/>
        <v>29.146000000000001</v>
      </c>
      <c r="E65" s="26">
        <f t="shared" si="3"/>
        <v>4.8576666666666667E-7</v>
      </c>
      <c r="F65" s="26">
        <v>21.1</v>
      </c>
      <c r="G65" s="26">
        <f t="shared" si="4"/>
        <v>294.10000000000002</v>
      </c>
      <c r="H65" s="26">
        <v>101.3</v>
      </c>
      <c r="I65" s="26">
        <f t="shared" si="5"/>
        <v>101300</v>
      </c>
      <c r="J65" s="26">
        <f t="shared" si="6"/>
        <v>2.0124824921938581E-5</v>
      </c>
      <c r="K65" s="20">
        <v>357.17326732673268</v>
      </c>
      <c r="L65" s="27">
        <f t="shared" si="7"/>
        <v>3.5717326732673271E-4</v>
      </c>
      <c r="M65" s="29">
        <f t="shared" si="8"/>
        <v>4.7762865441819992E-3</v>
      </c>
      <c r="N65" s="27">
        <f t="shared" si="9"/>
        <v>1.5049451923069887E-6</v>
      </c>
      <c r="O65" s="21">
        <f t="shared" si="10"/>
        <v>2.032E-3</v>
      </c>
      <c r="P65" s="21">
        <v>7.0840480334740597E-11</v>
      </c>
      <c r="Q65" s="2">
        <v>0.31</v>
      </c>
      <c r="R65" s="27">
        <f t="shared" si="11"/>
        <v>131000</v>
      </c>
      <c r="S65" s="2">
        <f t="shared" si="12"/>
        <v>5.1940208761751296E-3</v>
      </c>
      <c r="T65" s="11">
        <v>0.1</v>
      </c>
      <c r="U65" s="30">
        <f t="shared" si="13"/>
        <v>110000.00000000001</v>
      </c>
      <c r="V65" s="30">
        <f t="shared" si="1"/>
        <v>39.289059405940606</v>
      </c>
      <c r="W65" s="11">
        <f t="shared" si="14"/>
        <v>2443.9372964715508</v>
      </c>
      <c r="X65" s="9">
        <f t="shared" si="15"/>
        <v>6.0803952625466884E-14</v>
      </c>
      <c r="Y65" s="9">
        <f t="shared" si="16"/>
        <v>36616140271.05616</v>
      </c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</row>
    <row r="66" spans="1:76" s="4" customFormat="1" x14ac:dyDescent="0.3">
      <c r="A66" s="26">
        <v>192</v>
      </c>
      <c r="B66" s="26">
        <f t="shared" si="2"/>
        <v>3.2</v>
      </c>
      <c r="C66" s="26">
        <v>20</v>
      </c>
      <c r="D66" s="26">
        <f t="shared" ref="D66:D82" si="17">(C66*1.4573)</f>
        <v>29.146000000000001</v>
      </c>
      <c r="E66" s="26">
        <f t="shared" si="3"/>
        <v>4.8576666666666667E-7</v>
      </c>
      <c r="F66" s="26">
        <v>21.1</v>
      </c>
      <c r="G66" s="26">
        <f t="shared" si="4"/>
        <v>294.10000000000002</v>
      </c>
      <c r="H66" s="26">
        <v>101.3</v>
      </c>
      <c r="I66" s="26">
        <f t="shared" si="5"/>
        <v>101300</v>
      </c>
      <c r="J66" s="26">
        <f t="shared" si="6"/>
        <v>2.0124824921938581E-5</v>
      </c>
      <c r="K66" s="20">
        <v>346.7772277227723</v>
      </c>
      <c r="L66" s="27">
        <f t="shared" si="7"/>
        <v>3.4677722772277227E-4</v>
      </c>
      <c r="M66" s="29">
        <f t="shared" si="8"/>
        <v>4.7762865441819992E-3</v>
      </c>
      <c r="N66" s="27">
        <f t="shared" si="9"/>
        <v>1.4611416066184181E-6</v>
      </c>
      <c r="O66" s="21">
        <f t="shared" si="10"/>
        <v>2.032E-3</v>
      </c>
      <c r="P66" s="21">
        <v>7.0840480334740597E-11</v>
      </c>
      <c r="Q66" s="2">
        <v>0.31</v>
      </c>
      <c r="R66" s="27">
        <f t="shared" si="11"/>
        <v>131000</v>
      </c>
      <c r="S66" s="2">
        <f t="shared" si="12"/>
        <v>5.1940208761751296E-3</v>
      </c>
      <c r="T66" s="11">
        <v>0.1</v>
      </c>
      <c r="U66" s="30">
        <f t="shared" si="13"/>
        <v>110000.00000000001</v>
      </c>
      <c r="V66" s="30">
        <f t="shared" ref="V66:V82" si="18">(L66*U66)</f>
        <v>38.145495049504952</v>
      </c>
      <c r="W66" s="11">
        <f t="shared" si="14"/>
        <v>2312.4394248051053</v>
      </c>
      <c r="X66" s="9">
        <f t="shared" si="15"/>
        <v>5.8973843111973526E-14</v>
      </c>
      <c r="Y66" s="9">
        <f t="shared" si="16"/>
        <v>35514048322.030457</v>
      </c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</row>
    <row r="67" spans="1:76" s="4" customFormat="1" x14ac:dyDescent="0.3">
      <c r="A67" s="26">
        <v>195</v>
      </c>
      <c r="B67" s="26">
        <f t="shared" ref="B67:B82" si="19">(A67/60)</f>
        <v>3.25</v>
      </c>
      <c r="C67" s="26">
        <v>20</v>
      </c>
      <c r="D67" s="26">
        <f t="shared" si="17"/>
        <v>29.146000000000001</v>
      </c>
      <c r="E67" s="26">
        <f t="shared" ref="E67:E82" si="20">(D67/(1000000*60))</f>
        <v>4.8576666666666667E-7</v>
      </c>
      <c r="F67" s="26">
        <v>21.1</v>
      </c>
      <c r="G67" s="26">
        <f t="shared" ref="G67:G82" si="21">(273+F67)</f>
        <v>294.10000000000002</v>
      </c>
      <c r="H67" s="26">
        <v>101.3</v>
      </c>
      <c r="I67" s="26">
        <f t="shared" ref="I67:I82" si="22">(H67*1000)</f>
        <v>101300</v>
      </c>
      <c r="J67" s="26">
        <f t="shared" ref="J67:J82" si="23">((I67*E67)/(8.314*G67))</f>
        <v>2.0124824921938581E-5</v>
      </c>
      <c r="K67" s="20">
        <v>353.58415841584161</v>
      </c>
      <c r="L67" s="27">
        <f t="shared" ref="L67:L82" si="24">(K67/1000000)</f>
        <v>3.5358415841584164E-4</v>
      </c>
      <c r="M67" s="29">
        <f t="shared" ref="M67:M82" si="25">(3.142*3.07*3.07*25.4*25.4)/(4*1000000)</f>
        <v>4.7762865441819992E-3</v>
      </c>
      <c r="N67" s="27">
        <f t="shared" ref="N67:N82" si="26">(L67*J67)/M67</f>
        <v>1.489822525819268E-6</v>
      </c>
      <c r="O67" s="21">
        <f t="shared" ref="O67:O82" si="27">(2.032/1000)</f>
        <v>2.032E-3</v>
      </c>
      <c r="P67" s="21">
        <v>7.0840480334740597E-11</v>
      </c>
      <c r="Q67" s="2">
        <v>0.31</v>
      </c>
      <c r="R67" s="27">
        <f t="shared" ref="R67:R82" si="28">(1+Q67)*100000*1</f>
        <v>131000</v>
      </c>
      <c r="S67" s="2">
        <f t="shared" ref="S67:S82" si="29">(5.19402087617513/1000)</f>
        <v>5.1940208761751296E-3</v>
      </c>
      <c r="T67" s="11">
        <v>0.1</v>
      </c>
      <c r="U67" s="30">
        <f t="shared" ref="U67:U82" si="30">(1+T67)*100000</f>
        <v>110000.00000000001</v>
      </c>
      <c r="V67" s="30">
        <f t="shared" si="18"/>
        <v>38.894257425742587</v>
      </c>
      <c r="W67" s="11">
        <f t="shared" ref="W67:W82" si="31">((N67*O67/P67) + SQRT(V67))^2</f>
        <v>2398.1432351623616</v>
      </c>
      <c r="X67" s="9">
        <f t="shared" ref="X67:X82" si="32">(N67*S67)/(R67-W67)</f>
        <v>6.0171520812886202E-14</v>
      </c>
      <c r="Y67" s="9">
        <f t="shared" ref="Y67:Y82" si="33">(X67*6.022E+23)</f>
        <v>36235289833.520073</v>
      </c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</row>
    <row r="68" spans="1:76" s="4" customFormat="1" x14ac:dyDescent="0.3">
      <c r="A68" s="26">
        <v>198</v>
      </c>
      <c r="B68" s="26">
        <f t="shared" si="19"/>
        <v>3.3</v>
      </c>
      <c r="C68" s="26">
        <v>20</v>
      </c>
      <c r="D68" s="26">
        <f t="shared" si="17"/>
        <v>29.146000000000001</v>
      </c>
      <c r="E68" s="26">
        <f t="shared" si="20"/>
        <v>4.8576666666666667E-7</v>
      </c>
      <c r="F68" s="26">
        <v>21.1</v>
      </c>
      <c r="G68" s="26">
        <f t="shared" si="21"/>
        <v>294.10000000000002</v>
      </c>
      <c r="H68" s="26">
        <v>101.3</v>
      </c>
      <c r="I68" s="26">
        <f t="shared" si="22"/>
        <v>101300</v>
      </c>
      <c r="J68" s="26">
        <f t="shared" si="23"/>
        <v>2.0124824921938581E-5</v>
      </c>
      <c r="K68" s="20">
        <v>352.84158415841591</v>
      </c>
      <c r="L68" s="27">
        <f t="shared" si="24"/>
        <v>3.5284158415841593E-4</v>
      </c>
      <c r="M68" s="29">
        <f t="shared" si="25"/>
        <v>4.7762865441819992E-3</v>
      </c>
      <c r="N68" s="27">
        <f t="shared" si="26"/>
        <v>1.4866936982700846E-6</v>
      </c>
      <c r="O68" s="21">
        <f t="shared" si="27"/>
        <v>2.032E-3</v>
      </c>
      <c r="P68" s="21">
        <v>7.0840480334740597E-11</v>
      </c>
      <c r="Q68" s="2">
        <v>0.31</v>
      </c>
      <c r="R68" s="27">
        <f t="shared" si="28"/>
        <v>131000</v>
      </c>
      <c r="S68" s="2">
        <f t="shared" si="29"/>
        <v>5.1940208761751296E-3</v>
      </c>
      <c r="T68" s="11">
        <v>0.1</v>
      </c>
      <c r="U68" s="30">
        <f t="shared" si="30"/>
        <v>110000.00000000001</v>
      </c>
      <c r="V68" s="30">
        <f t="shared" si="18"/>
        <v>38.812574257425759</v>
      </c>
      <c r="W68" s="11">
        <f t="shared" si="31"/>
        <v>2388.720723187404</v>
      </c>
      <c r="X68" s="9">
        <f t="shared" si="32"/>
        <v>6.004075341380278E-14</v>
      </c>
      <c r="Y68" s="9">
        <f t="shared" si="33"/>
        <v>36156541705.792038</v>
      </c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</row>
    <row r="69" spans="1:76" s="4" customFormat="1" x14ac:dyDescent="0.3">
      <c r="A69" s="26">
        <v>201</v>
      </c>
      <c r="B69" s="26">
        <f t="shared" si="19"/>
        <v>3.35</v>
      </c>
      <c r="C69" s="26">
        <v>20</v>
      </c>
      <c r="D69" s="26">
        <f t="shared" si="17"/>
        <v>29.146000000000001</v>
      </c>
      <c r="E69" s="26">
        <f t="shared" si="20"/>
        <v>4.8576666666666667E-7</v>
      </c>
      <c r="F69" s="26">
        <v>21.1</v>
      </c>
      <c r="G69" s="26">
        <f t="shared" si="21"/>
        <v>294.10000000000002</v>
      </c>
      <c r="H69" s="26">
        <v>101.3</v>
      </c>
      <c r="I69" s="26">
        <f t="shared" si="22"/>
        <v>101300</v>
      </c>
      <c r="J69" s="26">
        <f t="shared" si="23"/>
        <v>2.0124824921938581E-5</v>
      </c>
      <c r="K69" s="20">
        <v>353.83168316831683</v>
      </c>
      <c r="L69" s="27">
        <f t="shared" si="24"/>
        <v>3.5383168316831682E-4</v>
      </c>
      <c r="M69" s="29">
        <f t="shared" si="25"/>
        <v>4.7762865441819992E-3</v>
      </c>
      <c r="N69" s="27">
        <f t="shared" si="26"/>
        <v>1.4908654683356623E-6</v>
      </c>
      <c r="O69" s="21">
        <f t="shared" si="27"/>
        <v>2.032E-3</v>
      </c>
      <c r="P69" s="21">
        <v>7.0840480334740597E-11</v>
      </c>
      <c r="Q69" s="2">
        <v>0.31</v>
      </c>
      <c r="R69" s="27">
        <f t="shared" si="28"/>
        <v>131000</v>
      </c>
      <c r="S69" s="2">
        <f t="shared" si="29"/>
        <v>5.1940208761751296E-3</v>
      </c>
      <c r="T69" s="11">
        <v>0.1</v>
      </c>
      <c r="U69" s="30">
        <f t="shared" si="30"/>
        <v>110000.00000000001</v>
      </c>
      <c r="V69" s="30">
        <f t="shared" si="18"/>
        <v>38.921485148514854</v>
      </c>
      <c r="W69" s="11">
        <f t="shared" si="31"/>
        <v>2401.2880442567321</v>
      </c>
      <c r="X69" s="9">
        <f t="shared" si="32"/>
        <v>6.021511606406264E-14</v>
      </c>
      <c r="Y69" s="9">
        <f t="shared" si="33"/>
        <v>36261542893.778526</v>
      </c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</row>
    <row r="70" spans="1:76" s="4" customFormat="1" x14ac:dyDescent="0.3">
      <c r="A70" s="26">
        <v>204</v>
      </c>
      <c r="B70" s="26">
        <f t="shared" si="19"/>
        <v>3.4</v>
      </c>
      <c r="C70" s="26">
        <v>20</v>
      </c>
      <c r="D70" s="26">
        <f t="shared" si="17"/>
        <v>29.146000000000001</v>
      </c>
      <c r="E70" s="26">
        <f t="shared" si="20"/>
        <v>4.8576666666666667E-7</v>
      </c>
      <c r="F70" s="26">
        <v>21.1</v>
      </c>
      <c r="G70" s="26">
        <f t="shared" si="21"/>
        <v>294.10000000000002</v>
      </c>
      <c r="H70" s="26">
        <v>101.3</v>
      </c>
      <c r="I70" s="26">
        <f t="shared" si="22"/>
        <v>101300</v>
      </c>
      <c r="J70" s="26">
        <f t="shared" si="23"/>
        <v>2.0124824921938581E-5</v>
      </c>
      <c r="K70" s="20">
        <v>345.24257425742576</v>
      </c>
      <c r="L70" s="27">
        <f t="shared" si="24"/>
        <v>3.4524257425742574E-4</v>
      </c>
      <c r="M70" s="29">
        <f t="shared" si="25"/>
        <v>4.7762865441819992E-3</v>
      </c>
      <c r="N70" s="27">
        <f t="shared" si="26"/>
        <v>1.454675363016772E-6</v>
      </c>
      <c r="O70" s="21">
        <f t="shared" si="27"/>
        <v>2.032E-3</v>
      </c>
      <c r="P70" s="21">
        <v>7.0840480334740597E-11</v>
      </c>
      <c r="Q70" s="2">
        <v>0.31</v>
      </c>
      <c r="R70" s="27">
        <f t="shared" si="28"/>
        <v>131000</v>
      </c>
      <c r="S70" s="2">
        <f t="shared" si="29"/>
        <v>5.1940208761751296E-3</v>
      </c>
      <c r="T70" s="11">
        <v>0.1</v>
      </c>
      <c r="U70" s="30">
        <f t="shared" si="30"/>
        <v>110000.00000000001</v>
      </c>
      <c r="V70" s="30">
        <f t="shared" si="18"/>
        <v>37.976683168316839</v>
      </c>
      <c r="W70" s="11">
        <f t="shared" si="31"/>
        <v>2293.3247197273313</v>
      </c>
      <c r="X70" s="9">
        <f t="shared" si="32"/>
        <v>5.8704136262657579E-14</v>
      </c>
      <c r="Y70" s="9">
        <f t="shared" si="33"/>
        <v>35351630857.372398</v>
      </c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</row>
    <row r="71" spans="1:76" s="4" customFormat="1" x14ac:dyDescent="0.3">
      <c r="A71" s="26">
        <v>207</v>
      </c>
      <c r="B71" s="26">
        <f t="shared" si="19"/>
        <v>3.45</v>
      </c>
      <c r="C71" s="26">
        <v>20</v>
      </c>
      <c r="D71" s="26">
        <f t="shared" si="17"/>
        <v>29.146000000000001</v>
      </c>
      <c r="E71" s="26">
        <f t="shared" si="20"/>
        <v>4.8576666666666667E-7</v>
      </c>
      <c r="F71" s="26">
        <v>21.1</v>
      </c>
      <c r="G71" s="26">
        <f t="shared" si="21"/>
        <v>294.10000000000002</v>
      </c>
      <c r="H71" s="26">
        <v>101.3</v>
      </c>
      <c r="I71" s="26">
        <f t="shared" si="22"/>
        <v>101300</v>
      </c>
      <c r="J71" s="26">
        <f t="shared" si="23"/>
        <v>2.0124824921938581E-5</v>
      </c>
      <c r="K71" s="20">
        <v>361.95049504950498</v>
      </c>
      <c r="L71" s="27">
        <f t="shared" si="24"/>
        <v>3.6195049504950496E-4</v>
      </c>
      <c r="M71" s="29">
        <f t="shared" si="25"/>
        <v>4.7762865441819992E-3</v>
      </c>
      <c r="N71" s="27">
        <f t="shared" si="26"/>
        <v>1.5250739828734033E-6</v>
      </c>
      <c r="O71" s="21">
        <f t="shared" si="27"/>
        <v>2.032E-3</v>
      </c>
      <c r="P71" s="21">
        <v>7.0840480334740597E-11</v>
      </c>
      <c r="Q71" s="2">
        <v>0.31</v>
      </c>
      <c r="R71" s="27">
        <f t="shared" si="28"/>
        <v>131000</v>
      </c>
      <c r="S71" s="2">
        <f t="shared" si="29"/>
        <v>5.1940208761751296E-3</v>
      </c>
      <c r="T71" s="11">
        <v>0.1</v>
      </c>
      <c r="U71" s="30">
        <f t="shared" si="30"/>
        <v>110000.00000000001</v>
      </c>
      <c r="V71" s="30">
        <f t="shared" si="18"/>
        <v>39.814554455445553</v>
      </c>
      <c r="W71" s="11">
        <f t="shared" si="31"/>
        <v>2505.5381357235992</v>
      </c>
      <c r="X71" s="9">
        <f t="shared" si="32"/>
        <v>6.1646751072609868E-14</v>
      </c>
      <c r="Y71" s="9">
        <f t="shared" si="33"/>
        <v>37123673495.925667</v>
      </c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</row>
    <row r="72" spans="1:76" s="4" customFormat="1" x14ac:dyDescent="0.3">
      <c r="A72" s="26">
        <v>210</v>
      </c>
      <c r="B72" s="26">
        <f t="shared" si="19"/>
        <v>3.5</v>
      </c>
      <c r="C72" s="26">
        <v>20</v>
      </c>
      <c r="D72" s="26">
        <f t="shared" si="17"/>
        <v>29.146000000000001</v>
      </c>
      <c r="E72" s="26">
        <f t="shared" si="20"/>
        <v>4.8576666666666667E-7</v>
      </c>
      <c r="F72" s="26">
        <v>21.1</v>
      </c>
      <c r="G72" s="26">
        <f t="shared" si="21"/>
        <v>294.10000000000002</v>
      </c>
      <c r="H72" s="26">
        <v>101.3</v>
      </c>
      <c r="I72" s="26">
        <f t="shared" si="22"/>
        <v>101300</v>
      </c>
      <c r="J72" s="26">
        <f t="shared" si="23"/>
        <v>2.0124824921938581E-5</v>
      </c>
      <c r="K72" s="20">
        <v>357.07425742574259</v>
      </c>
      <c r="L72" s="27">
        <f t="shared" si="24"/>
        <v>3.5707425742574259E-4</v>
      </c>
      <c r="M72" s="29">
        <f t="shared" si="25"/>
        <v>4.7762865441819992E-3</v>
      </c>
      <c r="N72" s="27">
        <f t="shared" si="26"/>
        <v>1.504528015300431E-6</v>
      </c>
      <c r="O72" s="21">
        <f t="shared" si="27"/>
        <v>2.032E-3</v>
      </c>
      <c r="P72" s="21">
        <v>7.0840480334740597E-11</v>
      </c>
      <c r="Q72" s="2">
        <v>0.31</v>
      </c>
      <c r="R72" s="27">
        <f t="shared" si="28"/>
        <v>131000</v>
      </c>
      <c r="S72" s="2">
        <f t="shared" si="29"/>
        <v>5.1940208761751296E-3</v>
      </c>
      <c r="T72" s="11">
        <v>0.1</v>
      </c>
      <c r="U72" s="30">
        <f t="shared" si="30"/>
        <v>110000.00000000001</v>
      </c>
      <c r="V72" s="30">
        <f t="shared" si="18"/>
        <v>39.278168316831689</v>
      </c>
      <c r="W72" s="11">
        <f t="shared" si="31"/>
        <v>2442.6684137890697</v>
      </c>
      <c r="X72" s="9">
        <f t="shared" si="32"/>
        <v>6.0786497540362467E-14</v>
      </c>
      <c r="Y72" s="9">
        <f t="shared" si="33"/>
        <v>36605628818.806282</v>
      </c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</row>
    <row r="73" spans="1:76" s="4" customFormat="1" x14ac:dyDescent="0.3">
      <c r="A73" s="26">
        <v>213</v>
      </c>
      <c r="B73" s="26">
        <f t="shared" si="19"/>
        <v>3.55</v>
      </c>
      <c r="C73" s="26">
        <v>20</v>
      </c>
      <c r="D73" s="26">
        <f t="shared" si="17"/>
        <v>29.146000000000001</v>
      </c>
      <c r="E73" s="26">
        <f t="shared" si="20"/>
        <v>4.8576666666666667E-7</v>
      </c>
      <c r="F73" s="26">
        <v>21.1</v>
      </c>
      <c r="G73" s="26">
        <f t="shared" si="21"/>
        <v>294.10000000000002</v>
      </c>
      <c r="H73" s="26">
        <v>101.3</v>
      </c>
      <c r="I73" s="26">
        <f t="shared" si="22"/>
        <v>101300</v>
      </c>
      <c r="J73" s="26">
        <f t="shared" si="23"/>
        <v>2.0124824921938581E-5</v>
      </c>
      <c r="K73" s="20">
        <v>348.93069306930693</v>
      </c>
      <c r="L73" s="27">
        <f t="shared" si="24"/>
        <v>3.4893069306930692E-4</v>
      </c>
      <c r="M73" s="29">
        <f t="shared" si="25"/>
        <v>4.7762865441819992E-3</v>
      </c>
      <c r="N73" s="27">
        <f t="shared" si="26"/>
        <v>1.4702152065110506E-6</v>
      </c>
      <c r="O73" s="21">
        <f t="shared" si="27"/>
        <v>2.032E-3</v>
      </c>
      <c r="P73" s="21">
        <v>7.0840480334740597E-11</v>
      </c>
      <c r="Q73" s="2">
        <v>0.31</v>
      </c>
      <c r="R73" s="27">
        <f t="shared" si="28"/>
        <v>131000</v>
      </c>
      <c r="S73" s="2">
        <f t="shared" si="29"/>
        <v>5.1940208761751296E-3</v>
      </c>
      <c r="T73" s="11">
        <v>0.1</v>
      </c>
      <c r="U73" s="30">
        <f t="shared" si="30"/>
        <v>110000.00000000001</v>
      </c>
      <c r="V73" s="30">
        <f t="shared" si="18"/>
        <v>38.382376237623767</v>
      </c>
      <c r="W73" s="11">
        <f t="shared" si="31"/>
        <v>2339.3905046350133</v>
      </c>
      <c r="X73" s="9">
        <f t="shared" si="32"/>
        <v>5.9352497279780305E-14</v>
      </c>
      <c r="Y73" s="9">
        <f t="shared" si="33"/>
        <v>35742073861.883698</v>
      </c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</row>
    <row r="74" spans="1:76" s="4" customFormat="1" x14ac:dyDescent="0.3">
      <c r="A74" s="26">
        <v>216</v>
      </c>
      <c r="B74" s="26">
        <f t="shared" si="19"/>
        <v>3.6</v>
      </c>
      <c r="C74" s="26">
        <v>20</v>
      </c>
      <c r="D74" s="26">
        <f t="shared" si="17"/>
        <v>29.146000000000001</v>
      </c>
      <c r="E74" s="26">
        <f t="shared" si="20"/>
        <v>4.8576666666666667E-7</v>
      </c>
      <c r="F74" s="26">
        <v>21.1</v>
      </c>
      <c r="G74" s="26">
        <f t="shared" si="21"/>
        <v>294.10000000000002</v>
      </c>
      <c r="H74" s="26">
        <v>101.3</v>
      </c>
      <c r="I74" s="26">
        <f t="shared" si="22"/>
        <v>101300</v>
      </c>
      <c r="J74" s="26">
        <f t="shared" si="23"/>
        <v>2.0124824921938581E-5</v>
      </c>
      <c r="K74" s="20">
        <v>360.16831683168317</v>
      </c>
      <c r="L74" s="27">
        <f t="shared" si="24"/>
        <v>3.6016831683168319E-4</v>
      </c>
      <c r="M74" s="29">
        <f t="shared" si="25"/>
        <v>4.7762865441819992E-3</v>
      </c>
      <c r="N74" s="27">
        <f t="shared" si="26"/>
        <v>1.5175647967553625E-6</v>
      </c>
      <c r="O74" s="21">
        <f t="shared" si="27"/>
        <v>2.032E-3</v>
      </c>
      <c r="P74" s="21">
        <v>7.0840480334740597E-11</v>
      </c>
      <c r="Q74" s="2">
        <v>0.31</v>
      </c>
      <c r="R74" s="27">
        <f t="shared" si="28"/>
        <v>131000</v>
      </c>
      <c r="S74" s="2">
        <f t="shared" si="29"/>
        <v>5.1940208761751296E-3</v>
      </c>
      <c r="T74" s="11">
        <v>0.1</v>
      </c>
      <c r="U74" s="30">
        <f t="shared" si="30"/>
        <v>110000.00000000001</v>
      </c>
      <c r="V74" s="30">
        <f t="shared" si="18"/>
        <v>39.618514851485159</v>
      </c>
      <c r="W74" s="11">
        <f t="shared" si="31"/>
        <v>2482.4710821998228</v>
      </c>
      <c r="X74" s="9">
        <f t="shared" si="32"/>
        <v>6.1332203487489373E-14</v>
      </c>
      <c r="Y74" s="9">
        <f t="shared" si="33"/>
        <v>36934252940.1661</v>
      </c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</row>
    <row r="75" spans="1:76" s="4" customFormat="1" x14ac:dyDescent="0.3">
      <c r="A75" s="26">
        <v>219</v>
      </c>
      <c r="B75" s="26">
        <f t="shared" si="19"/>
        <v>3.65</v>
      </c>
      <c r="C75" s="26">
        <v>20</v>
      </c>
      <c r="D75" s="26">
        <f t="shared" si="17"/>
        <v>29.146000000000001</v>
      </c>
      <c r="E75" s="26">
        <f t="shared" si="20"/>
        <v>4.8576666666666667E-7</v>
      </c>
      <c r="F75" s="26">
        <v>21.1</v>
      </c>
      <c r="G75" s="26">
        <f t="shared" si="21"/>
        <v>294.10000000000002</v>
      </c>
      <c r="H75" s="26">
        <v>101.3</v>
      </c>
      <c r="I75" s="26">
        <f t="shared" si="22"/>
        <v>101300</v>
      </c>
      <c r="J75" s="26">
        <f t="shared" si="23"/>
        <v>2.0124824921938581E-5</v>
      </c>
      <c r="K75" s="20">
        <v>346.13366336633663</v>
      </c>
      <c r="L75" s="27">
        <f t="shared" si="24"/>
        <v>3.4613366336633662E-4</v>
      </c>
      <c r="M75" s="29">
        <f t="shared" si="25"/>
        <v>4.7762865441819992E-3</v>
      </c>
      <c r="N75" s="27">
        <f t="shared" si="26"/>
        <v>1.4584299560757922E-6</v>
      </c>
      <c r="O75" s="21">
        <f t="shared" si="27"/>
        <v>2.032E-3</v>
      </c>
      <c r="P75" s="21">
        <v>7.0840480334740597E-11</v>
      </c>
      <c r="Q75" s="2">
        <v>0.31</v>
      </c>
      <c r="R75" s="27">
        <f t="shared" si="28"/>
        <v>131000</v>
      </c>
      <c r="S75" s="2">
        <f t="shared" si="29"/>
        <v>5.1940208761751296E-3</v>
      </c>
      <c r="T75" s="11">
        <v>0.1</v>
      </c>
      <c r="U75" s="30">
        <f t="shared" si="30"/>
        <v>110000.00000000001</v>
      </c>
      <c r="V75" s="30">
        <f t="shared" si="18"/>
        <v>38.074702970297032</v>
      </c>
      <c r="W75" s="11">
        <f t="shared" si="31"/>
        <v>2304.4142770880148</v>
      </c>
      <c r="X75" s="9">
        <f t="shared" si="32"/>
        <v>5.8860726230396454E-14</v>
      </c>
      <c r="Y75" s="9">
        <f t="shared" si="33"/>
        <v>35445929335.944748</v>
      </c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</row>
    <row r="76" spans="1:76" s="4" customFormat="1" x14ac:dyDescent="0.3">
      <c r="A76" s="26">
        <v>222</v>
      </c>
      <c r="B76" s="26">
        <f t="shared" si="19"/>
        <v>3.7</v>
      </c>
      <c r="C76" s="26">
        <v>20</v>
      </c>
      <c r="D76" s="26">
        <f t="shared" si="17"/>
        <v>29.146000000000001</v>
      </c>
      <c r="E76" s="26">
        <f t="shared" si="20"/>
        <v>4.8576666666666667E-7</v>
      </c>
      <c r="F76" s="26">
        <v>21.1</v>
      </c>
      <c r="G76" s="26">
        <f t="shared" si="21"/>
        <v>294.10000000000002</v>
      </c>
      <c r="H76" s="26">
        <v>101.3</v>
      </c>
      <c r="I76" s="26">
        <f t="shared" si="22"/>
        <v>101300</v>
      </c>
      <c r="J76" s="26">
        <f t="shared" si="23"/>
        <v>2.0124824921938581E-5</v>
      </c>
      <c r="K76" s="20">
        <v>342.59405940594058</v>
      </c>
      <c r="L76" s="27">
        <f t="shared" si="24"/>
        <v>3.4259405940594061E-4</v>
      </c>
      <c r="M76" s="29">
        <f t="shared" si="25"/>
        <v>4.7762865441819992E-3</v>
      </c>
      <c r="N76" s="27">
        <f t="shared" si="26"/>
        <v>1.4435158780913504E-6</v>
      </c>
      <c r="O76" s="21">
        <f t="shared" si="27"/>
        <v>2.032E-3</v>
      </c>
      <c r="P76" s="21">
        <v>7.0840480334740597E-11</v>
      </c>
      <c r="Q76" s="2">
        <v>0.31</v>
      </c>
      <c r="R76" s="27">
        <f t="shared" si="28"/>
        <v>131000</v>
      </c>
      <c r="S76" s="2">
        <f t="shared" si="29"/>
        <v>5.1940208761751296E-3</v>
      </c>
      <c r="T76" s="11">
        <v>0.1</v>
      </c>
      <c r="U76" s="30">
        <f t="shared" si="30"/>
        <v>110000.00000000001</v>
      </c>
      <c r="V76" s="30">
        <f t="shared" si="18"/>
        <v>37.685346534653469</v>
      </c>
      <c r="W76" s="11">
        <f t="shared" si="31"/>
        <v>2260.516210414587</v>
      </c>
      <c r="X76" s="9">
        <f t="shared" si="32"/>
        <v>5.8238944146700714E-14</v>
      </c>
      <c r="Y76" s="9">
        <f t="shared" si="33"/>
        <v>35071492165.143173</v>
      </c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</row>
    <row r="77" spans="1:76" s="4" customFormat="1" x14ac:dyDescent="0.3">
      <c r="A77" s="26">
        <v>225</v>
      </c>
      <c r="B77" s="26">
        <f t="shared" si="19"/>
        <v>3.75</v>
      </c>
      <c r="C77" s="26">
        <v>20</v>
      </c>
      <c r="D77" s="26">
        <f t="shared" si="17"/>
        <v>29.146000000000001</v>
      </c>
      <c r="E77" s="26">
        <f t="shared" si="20"/>
        <v>4.8576666666666667E-7</v>
      </c>
      <c r="F77" s="26">
        <v>21.1</v>
      </c>
      <c r="G77" s="26">
        <f t="shared" si="21"/>
        <v>294.10000000000002</v>
      </c>
      <c r="H77" s="26">
        <v>101.3</v>
      </c>
      <c r="I77" s="26">
        <f t="shared" si="22"/>
        <v>101300</v>
      </c>
      <c r="J77" s="26">
        <f t="shared" si="23"/>
        <v>2.0124824921938581E-5</v>
      </c>
      <c r="K77" s="20">
        <v>350.76237623762376</v>
      </c>
      <c r="L77" s="27">
        <f t="shared" si="24"/>
        <v>3.5076237623762375E-4</v>
      </c>
      <c r="M77" s="29">
        <f t="shared" si="25"/>
        <v>4.7762865441819992E-3</v>
      </c>
      <c r="N77" s="27">
        <f t="shared" si="26"/>
        <v>1.4779329811323702E-6</v>
      </c>
      <c r="O77" s="21">
        <f t="shared" si="27"/>
        <v>2.032E-3</v>
      </c>
      <c r="P77" s="21">
        <v>7.0840480334740597E-11</v>
      </c>
      <c r="Q77" s="2">
        <v>0.31</v>
      </c>
      <c r="R77" s="27">
        <f t="shared" si="28"/>
        <v>131000</v>
      </c>
      <c r="S77" s="2">
        <f t="shared" si="29"/>
        <v>5.1940208761751296E-3</v>
      </c>
      <c r="T77" s="11">
        <v>0.1</v>
      </c>
      <c r="U77" s="30">
        <f t="shared" si="30"/>
        <v>110000.00000000001</v>
      </c>
      <c r="V77" s="30">
        <f t="shared" si="18"/>
        <v>38.583861386138615</v>
      </c>
      <c r="W77" s="11">
        <f t="shared" si="31"/>
        <v>2362.4327874356027</v>
      </c>
      <c r="X77" s="9">
        <f t="shared" si="32"/>
        <v>5.9674750727402585E-14</v>
      </c>
      <c r="Y77" s="9">
        <f t="shared" si="33"/>
        <v>35936134888.04184</v>
      </c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</row>
    <row r="78" spans="1:76" s="4" customFormat="1" x14ac:dyDescent="0.3">
      <c r="A78" s="26">
        <v>228</v>
      </c>
      <c r="B78" s="26">
        <f t="shared" si="19"/>
        <v>3.8</v>
      </c>
      <c r="C78" s="26">
        <v>20</v>
      </c>
      <c r="D78" s="26">
        <f t="shared" si="17"/>
        <v>29.146000000000001</v>
      </c>
      <c r="E78" s="26">
        <f t="shared" si="20"/>
        <v>4.8576666666666667E-7</v>
      </c>
      <c r="F78" s="26">
        <v>21.1</v>
      </c>
      <c r="G78" s="26">
        <f t="shared" si="21"/>
        <v>294.10000000000002</v>
      </c>
      <c r="H78" s="26">
        <v>101.3</v>
      </c>
      <c r="I78" s="26">
        <f t="shared" si="22"/>
        <v>101300</v>
      </c>
      <c r="J78" s="26">
        <f t="shared" si="23"/>
        <v>2.0124824921938581E-5</v>
      </c>
      <c r="K78" s="20">
        <v>350.63861386138615</v>
      </c>
      <c r="L78" s="27">
        <f t="shared" si="24"/>
        <v>3.5063861386138616E-4</v>
      </c>
      <c r="M78" s="29">
        <f t="shared" si="25"/>
        <v>4.7762865441819992E-3</v>
      </c>
      <c r="N78" s="27">
        <f t="shared" si="26"/>
        <v>1.4774115098741729E-6</v>
      </c>
      <c r="O78" s="21">
        <f t="shared" si="27"/>
        <v>2.032E-3</v>
      </c>
      <c r="P78" s="21">
        <v>7.0840480334740597E-11</v>
      </c>
      <c r="Q78" s="2">
        <v>0.31</v>
      </c>
      <c r="R78" s="27">
        <f t="shared" si="28"/>
        <v>131000</v>
      </c>
      <c r="S78" s="2">
        <f t="shared" si="29"/>
        <v>5.1940208761751296E-3</v>
      </c>
      <c r="T78" s="11">
        <v>0.1</v>
      </c>
      <c r="U78" s="30">
        <f t="shared" si="30"/>
        <v>110000.00000000001</v>
      </c>
      <c r="V78" s="30">
        <f t="shared" si="18"/>
        <v>38.570247524752482</v>
      </c>
      <c r="W78" s="11">
        <f t="shared" si="31"/>
        <v>2360.8724491908856</v>
      </c>
      <c r="X78" s="9">
        <f t="shared" si="32"/>
        <v>5.9652971619828175E-14</v>
      </c>
      <c r="Y78" s="9">
        <f t="shared" si="33"/>
        <v>35923019509.460526</v>
      </c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</row>
    <row r="79" spans="1:76" s="4" customFormat="1" x14ac:dyDescent="0.3">
      <c r="A79" s="26">
        <v>231</v>
      </c>
      <c r="B79" s="26">
        <f t="shared" si="19"/>
        <v>3.85</v>
      </c>
      <c r="C79" s="26">
        <v>20</v>
      </c>
      <c r="D79" s="26">
        <f t="shared" si="17"/>
        <v>29.146000000000001</v>
      </c>
      <c r="E79" s="26">
        <f t="shared" si="20"/>
        <v>4.8576666666666667E-7</v>
      </c>
      <c r="F79" s="26">
        <v>21.1</v>
      </c>
      <c r="G79" s="26">
        <f t="shared" si="21"/>
        <v>294.10000000000002</v>
      </c>
      <c r="H79" s="26">
        <v>101.3</v>
      </c>
      <c r="I79" s="26">
        <f t="shared" si="22"/>
        <v>101300</v>
      </c>
      <c r="J79" s="26">
        <f t="shared" si="23"/>
        <v>2.0124824921938581E-5</v>
      </c>
      <c r="K79" s="20">
        <v>356.15841584158414</v>
      </c>
      <c r="L79" s="27">
        <f t="shared" si="24"/>
        <v>3.5615841584158412E-4</v>
      </c>
      <c r="M79" s="29">
        <f t="shared" si="25"/>
        <v>4.7762865441819992E-3</v>
      </c>
      <c r="N79" s="27">
        <f t="shared" si="26"/>
        <v>1.5006691279897709E-6</v>
      </c>
      <c r="O79" s="21">
        <f t="shared" si="27"/>
        <v>2.032E-3</v>
      </c>
      <c r="P79" s="21">
        <v>7.0840480334740597E-11</v>
      </c>
      <c r="Q79" s="2">
        <v>0.31</v>
      </c>
      <c r="R79" s="27">
        <f t="shared" si="28"/>
        <v>131000</v>
      </c>
      <c r="S79" s="2">
        <f t="shared" si="29"/>
        <v>5.1940208761751296E-3</v>
      </c>
      <c r="T79" s="11">
        <v>0.1</v>
      </c>
      <c r="U79" s="30">
        <f t="shared" si="30"/>
        <v>110000.00000000001</v>
      </c>
      <c r="V79" s="30">
        <f t="shared" si="18"/>
        <v>39.177425742574258</v>
      </c>
      <c r="W79" s="11">
        <f t="shared" si="31"/>
        <v>2430.9463048487573</v>
      </c>
      <c r="X79" s="9">
        <f t="shared" si="32"/>
        <v>6.062506143579365E-14</v>
      </c>
      <c r="Y79" s="9">
        <f t="shared" si="33"/>
        <v>36508411996.634941</v>
      </c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</row>
    <row r="80" spans="1:76" s="4" customFormat="1" x14ac:dyDescent="0.3">
      <c r="A80" s="26">
        <v>234</v>
      </c>
      <c r="B80" s="26">
        <f t="shared" si="19"/>
        <v>3.9</v>
      </c>
      <c r="C80" s="26">
        <v>20</v>
      </c>
      <c r="D80" s="26">
        <f t="shared" si="17"/>
        <v>29.146000000000001</v>
      </c>
      <c r="E80" s="26">
        <f t="shared" si="20"/>
        <v>4.8576666666666667E-7</v>
      </c>
      <c r="F80" s="26">
        <v>21.1</v>
      </c>
      <c r="G80" s="26">
        <f t="shared" si="21"/>
        <v>294.10000000000002</v>
      </c>
      <c r="H80" s="26">
        <v>101.3</v>
      </c>
      <c r="I80" s="26">
        <f t="shared" si="22"/>
        <v>101300</v>
      </c>
      <c r="J80" s="26">
        <f t="shared" si="23"/>
        <v>2.0124824921938581E-5</v>
      </c>
      <c r="K80" s="20">
        <v>350.39108910891093</v>
      </c>
      <c r="L80" s="27">
        <f t="shared" si="24"/>
        <v>3.5039108910891092E-4</v>
      </c>
      <c r="M80" s="29">
        <f t="shared" si="25"/>
        <v>4.7762865441819992E-3</v>
      </c>
      <c r="N80" s="27">
        <f t="shared" si="26"/>
        <v>1.4763685673577784E-6</v>
      </c>
      <c r="O80" s="21">
        <f t="shared" si="27"/>
        <v>2.032E-3</v>
      </c>
      <c r="P80" s="21">
        <v>7.0840480334740597E-11</v>
      </c>
      <c r="Q80" s="2">
        <v>0.31</v>
      </c>
      <c r="R80" s="27">
        <f t="shared" si="28"/>
        <v>131000</v>
      </c>
      <c r="S80" s="2">
        <f t="shared" si="29"/>
        <v>5.1940208761751296E-3</v>
      </c>
      <c r="T80" s="11">
        <v>0.1</v>
      </c>
      <c r="U80" s="30">
        <f t="shared" si="30"/>
        <v>110000.00000000001</v>
      </c>
      <c r="V80" s="30">
        <f t="shared" si="18"/>
        <v>38.543019801980208</v>
      </c>
      <c r="W80" s="11">
        <f t="shared" si="31"/>
        <v>2357.7532627052078</v>
      </c>
      <c r="X80" s="9">
        <f t="shared" si="32"/>
        <v>5.960941568009748E-14</v>
      </c>
      <c r="Y80" s="9">
        <f t="shared" si="33"/>
        <v>35896790122.554703</v>
      </c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</row>
    <row r="81" spans="1:76" s="4" customFormat="1" x14ac:dyDescent="0.3">
      <c r="A81" s="26">
        <v>237</v>
      </c>
      <c r="B81" s="26">
        <f t="shared" si="19"/>
        <v>3.95</v>
      </c>
      <c r="C81" s="26">
        <v>20</v>
      </c>
      <c r="D81" s="26">
        <f t="shared" si="17"/>
        <v>29.146000000000001</v>
      </c>
      <c r="E81" s="26">
        <f t="shared" si="20"/>
        <v>4.8576666666666667E-7</v>
      </c>
      <c r="F81" s="26">
        <v>21.1</v>
      </c>
      <c r="G81" s="26">
        <f t="shared" si="21"/>
        <v>294.10000000000002</v>
      </c>
      <c r="H81" s="26">
        <v>101.3</v>
      </c>
      <c r="I81" s="26">
        <f t="shared" si="22"/>
        <v>101300</v>
      </c>
      <c r="J81" s="26">
        <f t="shared" si="23"/>
        <v>2.0124824921938581E-5</v>
      </c>
      <c r="K81" s="20">
        <v>357.37128712871294</v>
      </c>
      <c r="L81" s="27">
        <f t="shared" si="24"/>
        <v>3.5737128712871294E-4</v>
      </c>
      <c r="M81" s="29">
        <f t="shared" si="25"/>
        <v>4.7762865441819992E-3</v>
      </c>
      <c r="N81" s="27">
        <f t="shared" si="26"/>
        <v>1.5057795463201045E-6</v>
      </c>
      <c r="O81" s="21">
        <f t="shared" si="27"/>
        <v>2.032E-3</v>
      </c>
      <c r="P81" s="21">
        <v>7.0840480334740597E-11</v>
      </c>
      <c r="Q81" s="2">
        <v>0.31</v>
      </c>
      <c r="R81" s="27">
        <f t="shared" si="28"/>
        <v>131000</v>
      </c>
      <c r="S81" s="2">
        <f t="shared" si="29"/>
        <v>5.1940208761751296E-3</v>
      </c>
      <c r="T81" s="11">
        <v>0.1</v>
      </c>
      <c r="U81" s="30">
        <f t="shared" si="30"/>
        <v>110000.00000000001</v>
      </c>
      <c r="V81" s="30">
        <f t="shared" si="18"/>
        <v>39.310841584158432</v>
      </c>
      <c r="W81" s="11">
        <f t="shared" si="31"/>
        <v>2446.4760145612099</v>
      </c>
      <c r="X81" s="9">
        <f t="shared" si="32"/>
        <v>6.0838864280297955E-14</v>
      </c>
      <c r="Y81" s="9">
        <f t="shared" si="33"/>
        <v>36637164069.595428</v>
      </c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</row>
    <row r="82" spans="1:76" s="4" customFormat="1" x14ac:dyDescent="0.3">
      <c r="A82" s="26">
        <v>240</v>
      </c>
      <c r="B82" s="26">
        <f t="shared" si="19"/>
        <v>4</v>
      </c>
      <c r="C82" s="26">
        <v>20</v>
      </c>
      <c r="D82" s="26">
        <f t="shared" si="17"/>
        <v>29.146000000000001</v>
      </c>
      <c r="E82" s="26">
        <f t="shared" si="20"/>
        <v>4.8576666666666667E-7</v>
      </c>
      <c r="F82" s="26">
        <v>21.1</v>
      </c>
      <c r="G82" s="26">
        <f t="shared" si="21"/>
        <v>294.10000000000002</v>
      </c>
      <c r="H82" s="26">
        <v>101.3</v>
      </c>
      <c r="I82" s="26">
        <f t="shared" si="22"/>
        <v>101300</v>
      </c>
      <c r="J82" s="26">
        <f t="shared" si="23"/>
        <v>2.0124824921938581E-5</v>
      </c>
      <c r="K82" s="20">
        <v>352.37128712871294</v>
      </c>
      <c r="L82" s="27">
        <f t="shared" si="24"/>
        <v>3.5237128712871293E-4</v>
      </c>
      <c r="M82" s="29">
        <f t="shared" si="25"/>
        <v>4.7762865441819992E-3</v>
      </c>
      <c r="N82" s="27">
        <f t="shared" si="26"/>
        <v>1.4847121074889349E-6</v>
      </c>
      <c r="O82" s="21">
        <f t="shared" si="27"/>
        <v>2.032E-3</v>
      </c>
      <c r="P82" s="21">
        <v>7.0840480334740597E-11</v>
      </c>
      <c r="Q82" s="2">
        <v>0.31</v>
      </c>
      <c r="R82" s="27">
        <f t="shared" si="28"/>
        <v>131000</v>
      </c>
      <c r="S82" s="2">
        <f t="shared" si="29"/>
        <v>5.1940208761751296E-3</v>
      </c>
      <c r="T82" s="11">
        <v>0.1</v>
      </c>
      <c r="U82" s="30">
        <f t="shared" si="30"/>
        <v>110000.00000000001</v>
      </c>
      <c r="V82" s="30">
        <f t="shared" si="18"/>
        <v>38.760841584158428</v>
      </c>
      <c r="W82" s="11">
        <f t="shared" si="31"/>
        <v>2382.7623771920989</v>
      </c>
      <c r="X82" s="9">
        <f t="shared" si="32"/>
        <v>5.9957948280798606E-14</v>
      </c>
      <c r="Y82" s="9">
        <f t="shared" si="33"/>
        <v>36106676454.696922</v>
      </c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</row>
    <row r="83" spans="1:76" s="4" customForma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4"/>
      <c r="L83" s="3"/>
      <c r="M83" s="3"/>
      <c r="N83" s="2"/>
      <c r="O83" s="21"/>
      <c r="P83" s="21"/>
      <c r="Q83" s="2"/>
      <c r="R83" s="2"/>
      <c r="S83" s="2"/>
      <c r="T83" s="11"/>
      <c r="U83" s="2"/>
      <c r="V83" s="11"/>
      <c r="W83" s="5"/>
      <c r="X83" s="2"/>
      <c r="Y83" s="5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</row>
    <row r="84" spans="1:76" s="4" customForma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4"/>
      <c r="L84" s="3"/>
      <c r="M84" s="3"/>
      <c r="N84" s="2"/>
      <c r="O84" s="21"/>
      <c r="P84" s="21"/>
      <c r="Q84" s="2"/>
      <c r="R84" s="2"/>
      <c r="S84" s="2"/>
      <c r="T84" s="11"/>
      <c r="U84" s="2"/>
      <c r="V84" s="11"/>
      <c r="W84" s="5"/>
      <c r="X84" s="2"/>
      <c r="Y84" s="5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</row>
    <row r="85" spans="1:76" s="4" customForma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4"/>
      <c r="L85" s="3"/>
      <c r="M85" s="3"/>
      <c r="N85" s="2"/>
      <c r="O85" s="21"/>
      <c r="P85" s="21"/>
      <c r="Q85" s="2"/>
      <c r="R85" s="2"/>
      <c r="S85" s="2"/>
      <c r="T85" s="11"/>
      <c r="U85" s="2"/>
      <c r="V85" s="11"/>
      <c r="W85" s="5"/>
      <c r="X85" s="31"/>
      <c r="Y85" s="31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</row>
    <row r="86" spans="1:76" s="4" customForma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4"/>
      <c r="L86" s="3"/>
      <c r="M86" s="3"/>
      <c r="N86" s="2"/>
      <c r="O86" s="21"/>
      <c r="P86" s="21"/>
      <c r="Q86" s="2"/>
      <c r="R86" s="2"/>
      <c r="S86" s="2"/>
      <c r="T86" s="11"/>
      <c r="U86" s="2"/>
      <c r="V86" s="11"/>
      <c r="W86" s="5"/>
      <c r="X86" s="32">
        <f>AVERAGE(X43:X82)</f>
        <v>6.0238506273833873E-14</v>
      </c>
      <c r="Y86" s="32">
        <f>AVERAGE(Y43:Y82)</f>
        <v>36275628478.102753</v>
      </c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</row>
    <row r="87" spans="1:76" s="4" customForma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4"/>
      <c r="L87" s="3"/>
      <c r="M87" s="3"/>
      <c r="N87" s="2"/>
      <c r="O87" s="21"/>
      <c r="P87" s="21"/>
      <c r="Q87" s="2"/>
      <c r="R87" s="2"/>
      <c r="S87" s="2"/>
      <c r="T87" s="11"/>
      <c r="U87" s="2"/>
      <c r="V87" s="11"/>
      <c r="W87" s="5"/>
      <c r="X87" s="2"/>
      <c r="Y87" s="5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</row>
    <row r="88" spans="1:76" s="4" customForma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4"/>
      <c r="L88" s="3"/>
      <c r="M88" s="3"/>
      <c r="N88" s="2"/>
      <c r="O88" s="21"/>
      <c r="P88" s="21"/>
      <c r="Q88" s="2"/>
      <c r="R88" s="2"/>
      <c r="S88" s="2"/>
      <c r="T88" s="11"/>
      <c r="U88" s="2"/>
      <c r="V88" s="11"/>
      <c r="W88" s="5"/>
      <c r="X88" s="2"/>
      <c r="Y88" s="5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</row>
    <row r="89" spans="1:76" s="4" customForma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4"/>
      <c r="L89" s="3"/>
      <c r="M89" s="3"/>
      <c r="N89" s="2"/>
      <c r="O89" s="21"/>
      <c r="P89" s="21"/>
      <c r="Q89" s="2"/>
      <c r="R89" s="2"/>
      <c r="S89" s="2"/>
      <c r="T89" s="11"/>
      <c r="U89" s="2"/>
      <c r="V89" s="11"/>
      <c r="W89" s="5"/>
      <c r="X89" s="2"/>
      <c r="Y89" s="5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</row>
    <row r="90" spans="1:76" s="4" customForma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4"/>
      <c r="L90" s="3"/>
      <c r="M90" s="3"/>
      <c r="N90" s="2"/>
      <c r="O90" s="21"/>
      <c r="P90" s="21"/>
      <c r="Q90" s="2"/>
      <c r="R90" s="2"/>
      <c r="S90" s="2"/>
      <c r="T90" s="11"/>
      <c r="U90" s="2"/>
      <c r="V90" s="11"/>
      <c r="W90" s="5"/>
      <c r="X90" s="2"/>
      <c r="Y90" s="5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</row>
    <row r="91" spans="1:76" s="4" customForma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4"/>
      <c r="L91" s="3"/>
      <c r="M91" s="3"/>
      <c r="N91" s="2"/>
      <c r="O91" s="21"/>
      <c r="P91" s="21"/>
      <c r="Q91" s="2"/>
      <c r="R91" s="2"/>
      <c r="S91" s="2"/>
      <c r="T91" s="11"/>
      <c r="U91" s="2"/>
      <c r="V91" s="11"/>
      <c r="W91" s="5"/>
      <c r="X91" s="2"/>
      <c r="Y91" s="5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</row>
    <row r="92" spans="1:76" s="4" customForma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4"/>
      <c r="L92" s="3"/>
      <c r="M92" s="3"/>
      <c r="N92" s="2"/>
      <c r="O92" s="21"/>
      <c r="P92" s="21"/>
      <c r="Q92" s="2"/>
      <c r="R92" s="2"/>
      <c r="S92" s="2"/>
      <c r="T92" s="11"/>
      <c r="U92" s="2"/>
      <c r="V92" s="11"/>
      <c r="W92" s="5"/>
      <c r="X92" s="2"/>
      <c r="Y92" s="5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</row>
    <row r="93" spans="1:76" s="4" customForma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4"/>
      <c r="L93" s="3"/>
      <c r="M93" s="3"/>
      <c r="N93" s="2"/>
      <c r="O93" s="21"/>
      <c r="P93" s="21"/>
      <c r="Q93" s="2"/>
      <c r="R93" s="2"/>
      <c r="S93" s="2"/>
      <c r="T93" s="11"/>
      <c r="U93" s="2"/>
      <c r="V93" s="11"/>
      <c r="W93" s="5"/>
      <c r="X93" s="2"/>
      <c r="Y93" s="5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</row>
    <row r="94" spans="1:76" s="4" customForma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4"/>
      <c r="L94" s="3"/>
      <c r="M94" s="3"/>
      <c r="N94" s="2"/>
      <c r="O94" s="21"/>
      <c r="P94" s="21"/>
      <c r="Q94" s="2"/>
      <c r="R94" s="2"/>
      <c r="S94" s="2"/>
      <c r="T94" s="11"/>
      <c r="U94" s="2"/>
      <c r="V94" s="11"/>
      <c r="W94" s="5"/>
      <c r="X94" s="2"/>
      <c r="Y94" s="5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</row>
    <row r="95" spans="1:76" s="4" customForma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4"/>
      <c r="L95" s="3"/>
      <c r="M95" s="3"/>
      <c r="N95" s="2"/>
      <c r="O95" s="21"/>
      <c r="P95" s="21"/>
      <c r="Q95" s="2"/>
      <c r="R95" s="2"/>
      <c r="S95" s="2"/>
      <c r="T95" s="11"/>
      <c r="U95" s="2"/>
      <c r="V95" s="11"/>
      <c r="W95" s="5"/>
      <c r="X95" s="2"/>
      <c r="Y95" s="5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</row>
    <row r="96" spans="1:76" s="4" customForma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4"/>
      <c r="L96" s="3"/>
      <c r="M96" s="3"/>
      <c r="N96" s="2"/>
      <c r="O96" s="21"/>
      <c r="P96" s="21"/>
      <c r="Q96" s="2"/>
      <c r="R96" s="2"/>
      <c r="S96" s="2"/>
      <c r="T96" s="11"/>
      <c r="U96" s="2"/>
      <c r="V96" s="11"/>
      <c r="W96" s="5"/>
      <c r="X96" s="2"/>
      <c r="Y96" s="5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</row>
    <row r="97" spans="1:76" s="4" customForma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4"/>
      <c r="L97" s="3"/>
      <c r="M97" s="3"/>
      <c r="N97" s="2"/>
      <c r="O97" s="21"/>
      <c r="P97" s="21"/>
      <c r="Q97" s="2"/>
      <c r="R97" s="2"/>
      <c r="S97" s="2"/>
      <c r="T97" s="11"/>
      <c r="U97" s="2"/>
      <c r="V97" s="11"/>
      <c r="W97" s="5"/>
      <c r="X97" s="2"/>
      <c r="Y97" s="5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</row>
    <row r="98" spans="1:76" s="4" customForma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4"/>
      <c r="L98" s="3"/>
      <c r="M98" s="3"/>
      <c r="N98" s="2"/>
      <c r="O98" s="21"/>
      <c r="P98" s="21"/>
      <c r="Q98" s="2"/>
      <c r="R98" s="2"/>
      <c r="S98" s="2"/>
      <c r="T98" s="11"/>
      <c r="U98" s="2"/>
      <c r="V98" s="11"/>
      <c r="W98" s="5"/>
      <c r="X98" s="2"/>
      <c r="Y98" s="5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</row>
    <row r="99" spans="1:76" s="4" customForma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4"/>
      <c r="L99" s="3"/>
      <c r="M99" s="3"/>
      <c r="N99" s="2"/>
      <c r="O99" s="21"/>
      <c r="P99" s="21"/>
      <c r="Q99" s="2"/>
      <c r="R99" s="2"/>
      <c r="S99" s="2"/>
      <c r="T99" s="11"/>
      <c r="U99" s="2"/>
      <c r="V99" s="11"/>
      <c r="W99" s="5"/>
      <c r="X99" s="2"/>
      <c r="Y99" s="5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</row>
    <row r="100" spans="1:76" s="4" customForma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4"/>
      <c r="L100" s="3"/>
      <c r="M100" s="3"/>
      <c r="N100" s="2"/>
      <c r="O100" s="21"/>
      <c r="P100" s="21"/>
      <c r="Q100" s="2"/>
      <c r="R100" s="2"/>
      <c r="S100" s="2"/>
      <c r="T100" s="11"/>
      <c r="U100" s="2"/>
      <c r="V100" s="11"/>
      <c r="W100" s="5"/>
      <c r="X100" s="2"/>
      <c r="Y100" s="5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</row>
    <row r="101" spans="1:76" s="4" customForma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4"/>
      <c r="L101" s="3"/>
      <c r="M101" s="3"/>
      <c r="N101" s="2"/>
      <c r="O101" s="21"/>
      <c r="P101" s="21"/>
      <c r="Q101" s="2"/>
      <c r="R101" s="2"/>
      <c r="S101" s="2"/>
      <c r="T101" s="11"/>
      <c r="U101" s="2"/>
      <c r="V101" s="11"/>
      <c r="W101" s="5"/>
      <c r="X101" s="2"/>
      <c r="Y101" s="5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</row>
    <row r="102" spans="1:76" s="4" customForma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4"/>
      <c r="L102" s="3"/>
      <c r="M102" s="3"/>
      <c r="N102" s="2"/>
      <c r="O102" s="21"/>
      <c r="P102" s="21"/>
      <c r="Q102" s="2"/>
      <c r="R102" s="2"/>
      <c r="S102" s="2"/>
      <c r="T102" s="11"/>
      <c r="U102" s="2"/>
      <c r="V102" s="11"/>
      <c r="W102" s="5"/>
      <c r="X102" s="2"/>
      <c r="Y102" s="5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</row>
    <row r="103" spans="1:76" s="4" customForma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4"/>
      <c r="L103" s="3"/>
      <c r="M103" s="3"/>
      <c r="N103" s="2"/>
      <c r="O103" s="21"/>
      <c r="P103" s="21"/>
      <c r="Q103" s="2"/>
      <c r="R103" s="2"/>
      <c r="S103" s="2"/>
      <c r="T103" s="11"/>
      <c r="U103" s="2"/>
      <c r="V103" s="11"/>
      <c r="W103" s="5"/>
      <c r="X103" s="2"/>
      <c r="Y103" s="5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</row>
    <row r="104" spans="1:76" s="4" customForma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4"/>
      <c r="L104" s="3"/>
      <c r="M104" s="3"/>
      <c r="N104" s="2"/>
      <c r="O104" s="21"/>
      <c r="P104" s="21"/>
      <c r="Q104" s="2"/>
      <c r="R104" s="2"/>
      <c r="S104" s="2"/>
      <c r="T104" s="11"/>
      <c r="U104" s="2"/>
      <c r="V104" s="11"/>
      <c r="W104" s="5"/>
      <c r="X104" s="2"/>
      <c r="Y104" s="5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</row>
    <row r="105" spans="1:76" s="4" customForma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4"/>
      <c r="L105" s="3"/>
      <c r="M105" s="3"/>
      <c r="N105" s="2"/>
      <c r="O105" s="21"/>
      <c r="P105" s="21"/>
      <c r="Q105" s="2"/>
      <c r="R105" s="2"/>
      <c r="S105" s="2"/>
      <c r="T105" s="11"/>
      <c r="U105" s="2"/>
      <c r="V105" s="11"/>
      <c r="W105" s="5"/>
      <c r="X105" s="2"/>
      <c r="Y105" s="5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</row>
    <row r="106" spans="1:76" s="4" customForma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4"/>
      <c r="L106" s="3"/>
      <c r="M106" s="3"/>
      <c r="N106" s="2"/>
      <c r="O106" s="21"/>
      <c r="P106" s="21"/>
      <c r="Q106" s="2"/>
      <c r="R106" s="2"/>
      <c r="S106" s="2"/>
      <c r="T106" s="11"/>
      <c r="U106" s="2"/>
      <c r="V106" s="11"/>
      <c r="W106" s="5"/>
      <c r="X106" s="2"/>
      <c r="Y106" s="5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</row>
    <row r="107" spans="1:76" s="4" customForma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4"/>
      <c r="L107" s="3"/>
      <c r="M107" s="3"/>
      <c r="N107" s="2"/>
      <c r="O107" s="21"/>
      <c r="P107" s="21"/>
      <c r="Q107" s="2"/>
      <c r="R107" s="2"/>
      <c r="S107" s="2"/>
      <c r="T107" s="11"/>
      <c r="U107" s="2"/>
      <c r="V107" s="11"/>
      <c r="W107" s="5"/>
      <c r="X107" s="2"/>
      <c r="Y107" s="5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</row>
    <row r="108" spans="1:76" s="4" customForma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4"/>
      <c r="L108" s="3"/>
      <c r="M108" s="3"/>
      <c r="N108" s="2"/>
      <c r="O108" s="21"/>
      <c r="P108" s="21"/>
      <c r="Q108" s="2"/>
      <c r="R108" s="2"/>
      <c r="S108" s="2"/>
      <c r="T108" s="11"/>
      <c r="U108" s="2"/>
      <c r="V108" s="11"/>
      <c r="W108" s="5"/>
      <c r="X108" s="2"/>
      <c r="Y108" s="5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</row>
    <row r="109" spans="1:76" s="4" customForma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4"/>
      <c r="L109" s="3"/>
      <c r="M109" s="3"/>
      <c r="N109" s="2"/>
      <c r="O109" s="21"/>
      <c r="P109" s="21"/>
      <c r="Q109" s="2"/>
      <c r="R109" s="2"/>
      <c r="S109" s="2"/>
      <c r="T109" s="11"/>
      <c r="U109" s="2"/>
      <c r="V109" s="11"/>
      <c r="W109" s="5"/>
      <c r="X109" s="2"/>
      <c r="Y109" s="5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</row>
    <row r="110" spans="1:76" s="4" customForma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4"/>
      <c r="L110" s="3"/>
      <c r="M110" s="3"/>
      <c r="N110" s="2"/>
      <c r="O110" s="21"/>
      <c r="P110" s="21"/>
      <c r="Q110" s="2"/>
      <c r="R110" s="2"/>
      <c r="S110" s="2"/>
      <c r="T110" s="11"/>
      <c r="U110" s="2"/>
      <c r="V110" s="11"/>
      <c r="W110" s="5"/>
      <c r="X110" s="2"/>
      <c r="Y110" s="5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</row>
    <row r="111" spans="1:76" s="4" customForma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4"/>
      <c r="L111" s="3"/>
      <c r="M111" s="3"/>
      <c r="N111" s="2"/>
      <c r="O111" s="21"/>
      <c r="P111" s="21"/>
      <c r="Q111" s="2"/>
      <c r="R111" s="2"/>
      <c r="S111" s="2"/>
      <c r="T111" s="11"/>
      <c r="U111" s="2"/>
      <c r="V111" s="11"/>
      <c r="W111" s="5"/>
      <c r="X111" s="2"/>
      <c r="Y111" s="5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</row>
    <row r="112" spans="1:76" s="4" customForma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4"/>
      <c r="L112" s="3"/>
      <c r="M112" s="3"/>
      <c r="N112" s="2"/>
      <c r="O112" s="21"/>
      <c r="P112" s="21"/>
      <c r="Q112" s="2"/>
      <c r="R112" s="2"/>
      <c r="S112" s="2"/>
      <c r="T112" s="11"/>
      <c r="U112" s="2"/>
      <c r="V112" s="11"/>
      <c r="W112" s="5"/>
      <c r="X112" s="2"/>
      <c r="Y112" s="5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</row>
    <row r="113" spans="1:76" s="4" customForma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4"/>
      <c r="L113" s="3"/>
      <c r="M113" s="3"/>
      <c r="N113" s="2"/>
      <c r="O113" s="21"/>
      <c r="P113" s="21"/>
      <c r="Q113" s="2"/>
      <c r="R113" s="2"/>
      <c r="S113" s="2"/>
      <c r="T113" s="11"/>
      <c r="U113" s="2"/>
      <c r="V113" s="11"/>
      <c r="W113" s="5"/>
      <c r="X113" s="2"/>
      <c r="Y113" s="5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</row>
    <row r="114" spans="1:76" s="4" customForma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4"/>
      <c r="L114" s="3"/>
      <c r="M114" s="3"/>
      <c r="N114" s="2"/>
      <c r="O114" s="21"/>
      <c r="P114" s="21"/>
      <c r="Q114" s="2"/>
      <c r="R114" s="2"/>
      <c r="S114" s="2"/>
      <c r="T114" s="11"/>
      <c r="U114" s="2"/>
      <c r="V114" s="11"/>
      <c r="W114" s="5"/>
      <c r="X114" s="2"/>
      <c r="Y114" s="5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</row>
    <row r="115" spans="1:76" s="4" customForma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4"/>
      <c r="L115" s="3"/>
      <c r="M115" s="3"/>
      <c r="N115" s="2"/>
      <c r="O115" s="21"/>
      <c r="P115" s="21"/>
      <c r="Q115" s="2"/>
      <c r="R115" s="2"/>
      <c r="S115" s="2"/>
      <c r="T115" s="11"/>
      <c r="U115" s="2"/>
      <c r="V115" s="11"/>
      <c r="W115" s="5"/>
      <c r="X115" s="2"/>
      <c r="Y115" s="5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</row>
    <row r="116" spans="1:76" s="4" customForma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4"/>
      <c r="L116" s="3"/>
      <c r="M116" s="3"/>
      <c r="N116" s="2"/>
      <c r="O116" s="21"/>
      <c r="P116" s="21"/>
      <c r="Q116" s="2"/>
      <c r="R116" s="2"/>
      <c r="S116" s="2"/>
      <c r="T116" s="11"/>
      <c r="U116" s="2"/>
      <c r="V116" s="11"/>
      <c r="W116" s="5"/>
      <c r="X116" s="2"/>
      <c r="Y116" s="5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</row>
    <row r="117" spans="1:76" s="4" customForma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4"/>
      <c r="L117" s="3"/>
      <c r="M117" s="3"/>
      <c r="N117" s="2"/>
      <c r="O117" s="21"/>
      <c r="P117" s="21"/>
      <c r="Q117" s="2"/>
      <c r="R117" s="2"/>
      <c r="S117" s="2"/>
      <c r="T117" s="11"/>
      <c r="U117" s="2"/>
      <c r="V117" s="11"/>
      <c r="W117" s="5"/>
      <c r="X117" s="2"/>
      <c r="Y117" s="5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</row>
    <row r="118" spans="1:76" s="4" customForma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4"/>
      <c r="L118" s="3"/>
      <c r="M118" s="3"/>
      <c r="N118" s="2"/>
      <c r="O118" s="21"/>
      <c r="P118" s="21"/>
      <c r="Q118" s="2"/>
      <c r="R118" s="2"/>
      <c r="S118" s="2"/>
      <c r="T118" s="11"/>
      <c r="U118" s="2"/>
      <c r="V118" s="11"/>
      <c r="W118" s="5"/>
      <c r="X118" s="2"/>
      <c r="Y118" s="5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</row>
    <row r="119" spans="1:76" s="4" customForma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4"/>
      <c r="L119" s="3"/>
      <c r="M119" s="3"/>
      <c r="N119" s="2"/>
      <c r="O119" s="21"/>
      <c r="P119" s="21"/>
      <c r="Q119" s="2"/>
      <c r="R119" s="2"/>
      <c r="S119" s="2"/>
      <c r="T119" s="11"/>
      <c r="U119" s="2"/>
      <c r="V119" s="11"/>
      <c r="W119" s="5"/>
      <c r="X119" s="2"/>
      <c r="Y119" s="5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</row>
    <row r="120" spans="1:76" s="4" customForma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4"/>
      <c r="L120" s="3"/>
      <c r="M120" s="3"/>
      <c r="N120" s="2"/>
      <c r="O120" s="21"/>
      <c r="P120" s="21"/>
      <c r="Q120" s="2"/>
      <c r="R120" s="2"/>
      <c r="S120" s="2"/>
      <c r="T120" s="11"/>
      <c r="U120" s="2"/>
      <c r="V120" s="11"/>
      <c r="W120" s="5"/>
      <c r="X120" s="2"/>
      <c r="Y120" s="5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</row>
    <row r="121" spans="1:76" s="4" customForma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4"/>
      <c r="L121" s="3"/>
      <c r="M121" s="3"/>
      <c r="N121" s="2"/>
      <c r="O121" s="21"/>
      <c r="P121" s="21"/>
      <c r="Q121" s="2"/>
      <c r="R121" s="2"/>
      <c r="S121" s="2"/>
      <c r="T121" s="11"/>
      <c r="U121" s="2"/>
      <c r="V121" s="11"/>
      <c r="W121" s="5"/>
      <c r="X121" s="2"/>
      <c r="Y121" s="5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</row>
    <row r="122" spans="1:76" s="4" customForma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4"/>
      <c r="L122" s="3"/>
      <c r="M122" s="3"/>
      <c r="N122" s="2"/>
      <c r="O122" s="21"/>
      <c r="P122" s="21"/>
      <c r="Q122" s="2"/>
      <c r="R122" s="2"/>
      <c r="S122" s="2"/>
      <c r="T122" s="11"/>
      <c r="U122" s="2"/>
      <c r="V122" s="11"/>
      <c r="W122" s="5"/>
      <c r="X122" s="2"/>
      <c r="Y122" s="5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</row>
    <row r="123" spans="1:76" s="4" customForma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4"/>
      <c r="L123" s="3"/>
      <c r="M123" s="3"/>
      <c r="N123" s="27"/>
      <c r="O123" s="21"/>
      <c r="P123" s="21"/>
      <c r="Q123" s="2"/>
      <c r="R123" s="2"/>
      <c r="S123" s="2"/>
      <c r="T123" s="11"/>
      <c r="U123" s="2"/>
      <c r="V123" s="11"/>
      <c r="W123" s="5"/>
      <c r="X123" s="2"/>
      <c r="Y123" s="5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</row>
    <row r="124" spans="1:76" s="4" customForma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4"/>
      <c r="L124" s="3"/>
      <c r="M124" s="3"/>
      <c r="N124" s="2"/>
      <c r="O124" s="21"/>
      <c r="P124" s="21"/>
      <c r="Q124" s="2"/>
      <c r="R124" s="2"/>
      <c r="S124" s="2"/>
      <c r="T124" s="11"/>
      <c r="U124" s="2"/>
      <c r="V124" s="11"/>
      <c r="W124" s="5"/>
      <c r="X124" s="2"/>
      <c r="Y124" s="5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</row>
    <row r="125" spans="1:76" s="4" customForma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4"/>
      <c r="L125" s="3"/>
      <c r="M125" s="3"/>
      <c r="N125" s="2"/>
      <c r="O125" s="21"/>
      <c r="P125" s="21"/>
      <c r="Q125" s="2"/>
      <c r="R125" s="2"/>
      <c r="S125" s="2"/>
      <c r="T125" s="11"/>
      <c r="U125" s="2"/>
      <c r="V125" s="11"/>
      <c r="W125" s="5"/>
      <c r="X125" s="2"/>
      <c r="Y125" s="5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</row>
    <row r="126" spans="1:76" s="4" customForma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4"/>
      <c r="L126" s="3"/>
      <c r="M126" s="3"/>
      <c r="N126" s="2"/>
      <c r="O126" s="21"/>
      <c r="P126" s="21"/>
      <c r="Q126" s="2"/>
      <c r="R126" s="2"/>
      <c r="S126" s="2"/>
      <c r="T126" s="11"/>
      <c r="U126" s="2"/>
      <c r="V126" s="11"/>
      <c r="W126" s="5"/>
      <c r="X126" s="2"/>
      <c r="Y126" s="5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</row>
    <row r="127" spans="1:76" s="4" customForma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4"/>
      <c r="L127" s="3"/>
      <c r="M127" s="3"/>
      <c r="N127" s="2"/>
      <c r="O127" s="21"/>
      <c r="P127" s="21"/>
      <c r="Q127" s="2"/>
      <c r="R127" s="2"/>
      <c r="S127" s="2"/>
      <c r="T127" s="11"/>
      <c r="U127" s="2"/>
      <c r="V127" s="11"/>
      <c r="W127" s="5"/>
      <c r="X127" s="2"/>
      <c r="Y127" s="5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</row>
    <row r="128" spans="1:76" s="4" customForma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4"/>
      <c r="L128" s="3"/>
      <c r="M128" s="3"/>
      <c r="N128" s="2"/>
      <c r="O128" s="21"/>
      <c r="P128" s="21"/>
      <c r="Q128" s="2"/>
      <c r="R128" s="2"/>
      <c r="S128" s="2"/>
      <c r="T128" s="11"/>
      <c r="U128" s="2"/>
      <c r="V128" s="11"/>
      <c r="W128" s="5"/>
      <c r="X128" s="2"/>
      <c r="Y128" s="5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</row>
    <row r="129" spans="1:76" s="4" customForma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4"/>
      <c r="L129" s="3"/>
      <c r="M129" s="3"/>
      <c r="N129" s="2"/>
      <c r="O129" s="21"/>
      <c r="P129" s="21"/>
      <c r="Q129" s="2"/>
      <c r="R129" s="2"/>
      <c r="S129" s="2"/>
      <c r="T129" s="11"/>
      <c r="U129" s="2"/>
      <c r="V129" s="11"/>
      <c r="W129" s="5"/>
      <c r="X129" s="2"/>
      <c r="Y129" s="5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</row>
    <row r="130" spans="1:76" s="4" customForma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4"/>
      <c r="L130" s="3"/>
      <c r="M130" s="3"/>
      <c r="N130" s="2"/>
      <c r="O130" s="21"/>
      <c r="P130" s="21"/>
      <c r="Q130" s="2"/>
      <c r="R130" s="2"/>
      <c r="S130" s="2"/>
      <c r="T130" s="11"/>
      <c r="U130" s="2"/>
      <c r="V130" s="11"/>
      <c r="W130" s="5"/>
      <c r="X130" s="2"/>
      <c r="Y130" s="5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</row>
    <row r="131" spans="1:76" s="4" customForma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4"/>
      <c r="L131" s="3"/>
      <c r="M131" s="3"/>
      <c r="N131" s="2"/>
      <c r="O131" s="21"/>
      <c r="P131" s="21"/>
      <c r="Q131" s="2"/>
      <c r="R131" s="2"/>
      <c r="S131" s="2"/>
      <c r="T131" s="11"/>
      <c r="U131" s="2"/>
      <c r="V131" s="11"/>
      <c r="W131" s="5"/>
      <c r="X131" s="2"/>
      <c r="Y131" s="5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</row>
    <row r="132" spans="1:76" s="4" customForma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4"/>
      <c r="L132" s="3"/>
      <c r="M132" s="3"/>
      <c r="N132" s="2"/>
      <c r="O132" s="21"/>
      <c r="P132" s="21"/>
      <c r="Q132" s="2"/>
      <c r="R132" s="2"/>
      <c r="S132" s="2"/>
      <c r="T132" s="11"/>
      <c r="U132" s="2"/>
      <c r="V132" s="11"/>
      <c r="W132" s="5"/>
      <c r="X132" s="2"/>
      <c r="Y132" s="5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</row>
    <row r="133" spans="1:76" s="4" customForma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4"/>
      <c r="L133" s="3"/>
      <c r="M133" s="3"/>
      <c r="N133" s="2"/>
      <c r="O133" s="21"/>
      <c r="P133" s="21"/>
      <c r="Q133" s="2"/>
      <c r="R133" s="2"/>
      <c r="S133" s="2"/>
      <c r="T133" s="11"/>
      <c r="U133" s="2"/>
      <c r="V133" s="11"/>
      <c r="W133" s="5"/>
      <c r="X133" s="2"/>
      <c r="Y133" s="5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</row>
    <row r="134" spans="1:76" s="4" customForma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4"/>
      <c r="L134" s="3"/>
      <c r="M134" s="3"/>
      <c r="N134" s="2"/>
      <c r="O134" s="21"/>
      <c r="P134" s="21"/>
      <c r="Q134" s="2"/>
      <c r="R134" s="2"/>
      <c r="S134" s="2"/>
      <c r="T134" s="11"/>
      <c r="U134" s="2"/>
      <c r="V134" s="11"/>
      <c r="W134" s="5"/>
      <c r="X134" s="2"/>
      <c r="Y134" s="5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</row>
    <row r="135" spans="1:76" s="4" customForma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4"/>
      <c r="L135" s="3"/>
      <c r="M135" s="3"/>
      <c r="N135" s="2"/>
      <c r="O135" s="21"/>
      <c r="P135" s="21"/>
      <c r="Q135" s="2"/>
      <c r="R135" s="2"/>
      <c r="S135" s="2"/>
      <c r="T135" s="11"/>
      <c r="U135" s="2"/>
      <c r="V135" s="11"/>
      <c r="W135" s="5"/>
      <c r="X135" s="2"/>
      <c r="Y135" s="5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</row>
    <row r="136" spans="1:76" s="4" customForma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4"/>
      <c r="L136" s="3"/>
      <c r="M136" s="3"/>
      <c r="N136" s="2"/>
      <c r="O136" s="21"/>
      <c r="P136" s="21"/>
      <c r="Q136" s="2"/>
      <c r="R136" s="2"/>
      <c r="S136" s="2"/>
      <c r="T136" s="11"/>
      <c r="U136" s="2"/>
      <c r="V136" s="11"/>
      <c r="W136" s="5"/>
      <c r="X136" s="2"/>
      <c r="Y136" s="5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</row>
    <row r="137" spans="1:76" s="4" customForma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4"/>
      <c r="L137" s="3"/>
      <c r="M137" s="3"/>
      <c r="N137" s="2"/>
      <c r="O137" s="21"/>
      <c r="P137" s="21"/>
      <c r="Q137" s="2"/>
      <c r="R137" s="2"/>
      <c r="S137" s="2"/>
      <c r="T137" s="11"/>
      <c r="U137" s="2"/>
      <c r="V137" s="11"/>
      <c r="W137" s="5"/>
      <c r="X137" s="2"/>
      <c r="Y137" s="5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</row>
    <row r="138" spans="1:76" s="4" customForma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4"/>
      <c r="L138" s="3"/>
      <c r="M138" s="3"/>
      <c r="N138" s="2"/>
      <c r="O138" s="21"/>
      <c r="P138" s="21"/>
      <c r="Q138" s="2"/>
      <c r="R138" s="2"/>
      <c r="S138" s="2"/>
      <c r="T138" s="11"/>
      <c r="U138" s="2"/>
      <c r="V138" s="11"/>
      <c r="W138" s="5"/>
      <c r="X138" s="2"/>
      <c r="Y138" s="5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1:76" s="4" customForma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4"/>
      <c r="L139" s="3"/>
      <c r="M139" s="3"/>
      <c r="N139" s="2"/>
      <c r="O139" s="21"/>
      <c r="P139" s="21"/>
      <c r="Q139" s="2"/>
      <c r="R139" s="2"/>
      <c r="S139" s="2"/>
      <c r="T139" s="11"/>
      <c r="U139" s="2"/>
      <c r="V139" s="11"/>
      <c r="W139" s="5"/>
      <c r="X139" s="2"/>
      <c r="Y139" s="5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1:76" s="4" customForma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4"/>
      <c r="L140" s="3"/>
      <c r="M140" s="3"/>
      <c r="N140" s="2"/>
      <c r="O140" s="21"/>
      <c r="P140" s="21"/>
      <c r="Q140" s="2"/>
      <c r="R140" s="2"/>
      <c r="S140" s="2"/>
      <c r="T140" s="11"/>
      <c r="U140" s="2"/>
      <c r="V140" s="11"/>
      <c r="W140" s="5"/>
      <c r="X140" s="2"/>
      <c r="Y140" s="5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1:76" s="4" customForma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4"/>
      <c r="L141" s="3"/>
      <c r="M141" s="3"/>
      <c r="N141" s="2"/>
      <c r="O141" s="21"/>
      <c r="P141" s="21"/>
      <c r="Q141" s="2"/>
      <c r="R141" s="2"/>
      <c r="S141" s="2"/>
      <c r="T141" s="11"/>
      <c r="U141" s="2"/>
      <c r="V141" s="11"/>
      <c r="W141" s="5"/>
      <c r="X141" s="2"/>
      <c r="Y141" s="5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</row>
    <row r="142" spans="1:76" s="4" customForma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4"/>
      <c r="L142" s="3"/>
      <c r="M142" s="3"/>
      <c r="N142" s="2"/>
      <c r="O142" s="21"/>
      <c r="P142" s="21"/>
      <c r="Q142" s="2"/>
      <c r="R142" s="2"/>
      <c r="S142" s="2"/>
      <c r="T142" s="11"/>
      <c r="U142" s="2"/>
      <c r="V142" s="11"/>
      <c r="W142" s="5"/>
      <c r="X142" s="2"/>
      <c r="Y142" s="5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</row>
    <row r="143" spans="1:76" s="4" customForma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4"/>
      <c r="L143" s="3"/>
      <c r="M143" s="3"/>
      <c r="N143" s="2"/>
      <c r="O143" s="21"/>
      <c r="P143" s="21"/>
      <c r="Q143" s="2"/>
      <c r="R143" s="2"/>
      <c r="S143" s="2"/>
      <c r="T143" s="11"/>
      <c r="U143" s="2"/>
      <c r="V143" s="11"/>
      <c r="W143" s="5"/>
      <c r="X143" s="2"/>
      <c r="Y143" s="5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</row>
    <row r="144" spans="1:76" s="4" customForma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4"/>
      <c r="L144" s="3"/>
      <c r="M144" s="3"/>
      <c r="N144" s="2"/>
      <c r="O144" s="21"/>
      <c r="P144" s="21"/>
      <c r="Q144" s="2"/>
      <c r="R144" s="2"/>
      <c r="S144" s="2"/>
      <c r="T144" s="11"/>
      <c r="U144" s="2"/>
      <c r="V144" s="11"/>
      <c r="W144" s="5"/>
      <c r="X144" s="2"/>
      <c r="Y144" s="5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</row>
    <row r="145" spans="1:76" s="4" customForma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4"/>
      <c r="L145" s="3"/>
      <c r="M145" s="3"/>
      <c r="N145" s="2"/>
      <c r="O145" s="21"/>
      <c r="P145" s="21"/>
      <c r="Q145" s="2"/>
      <c r="R145" s="2"/>
      <c r="S145" s="2"/>
      <c r="T145" s="11"/>
      <c r="U145" s="2"/>
      <c r="V145" s="11"/>
      <c r="W145" s="5"/>
      <c r="X145" s="2"/>
      <c r="Y145" s="5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</row>
    <row r="146" spans="1:76" s="4" customForma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4"/>
      <c r="L146" s="3"/>
      <c r="M146" s="3"/>
      <c r="N146" s="2"/>
      <c r="O146" s="21"/>
      <c r="P146" s="21"/>
      <c r="Q146" s="2"/>
      <c r="R146" s="2"/>
      <c r="S146" s="2"/>
      <c r="T146" s="11"/>
      <c r="U146" s="2"/>
      <c r="V146" s="11"/>
      <c r="W146" s="5"/>
      <c r="X146" s="2"/>
      <c r="Y146" s="5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</row>
    <row r="147" spans="1:76" s="4" customForma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4"/>
      <c r="L147" s="3"/>
      <c r="M147" s="3"/>
      <c r="N147" s="2"/>
      <c r="O147" s="21"/>
      <c r="P147" s="21"/>
      <c r="Q147" s="2"/>
      <c r="R147" s="2"/>
      <c r="S147" s="2"/>
      <c r="T147" s="11"/>
      <c r="U147" s="2"/>
      <c r="V147" s="11"/>
      <c r="W147" s="5"/>
      <c r="X147" s="2"/>
      <c r="Y147" s="5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</row>
    <row r="148" spans="1:76" s="4" customForma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4"/>
      <c r="L148" s="3"/>
      <c r="M148" s="3"/>
      <c r="N148" s="2"/>
      <c r="O148" s="21"/>
      <c r="P148" s="21"/>
      <c r="Q148" s="2"/>
      <c r="R148" s="2"/>
      <c r="S148" s="2"/>
      <c r="T148" s="11"/>
      <c r="U148" s="2"/>
      <c r="V148" s="11"/>
      <c r="W148" s="5"/>
      <c r="X148" s="2"/>
      <c r="Y148" s="5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</row>
    <row r="149" spans="1:76" s="4" customForma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4"/>
      <c r="L149" s="3"/>
      <c r="M149" s="3"/>
      <c r="N149" s="2"/>
      <c r="O149" s="21"/>
      <c r="P149" s="21"/>
      <c r="Q149" s="2"/>
      <c r="R149" s="2"/>
      <c r="S149" s="2"/>
      <c r="T149" s="11"/>
      <c r="U149" s="2"/>
      <c r="V149" s="11"/>
      <c r="W149" s="5"/>
      <c r="X149" s="2"/>
      <c r="Y149" s="5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</row>
    <row r="150" spans="1:76" s="4" customForma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4"/>
      <c r="L150" s="3"/>
      <c r="M150" s="3"/>
      <c r="N150" s="2"/>
      <c r="O150" s="21"/>
      <c r="P150" s="21"/>
      <c r="Q150" s="2"/>
      <c r="R150" s="2"/>
      <c r="S150" s="2"/>
      <c r="T150" s="11"/>
      <c r="U150" s="2"/>
      <c r="V150" s="11"/>
      <c r="W150" s="5"/>
      <c r="X150" s="2"/>
      <c r="Y150" s="5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</row>
    <row r="151" spans="1:76" s="4" customForma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4"/>
      <c r="L151" s="3"/>
      <c r="M151" s="3"/>
      <c r="N151" s="2"/>
      <c r="O151" s="21"/>
      <c r="P151" s="21"/>
      <c r="Q151" s="2"/>
      <c r="R151" s="2"/>
      <c r="S151" s="2"/>
      <c r="T151" s="11"/>
      <c r="U151" s="2"/>
      <c r="V151" s="11"/>
      <c r="W151" s="5"/>
      <c r="X151" s="2"/>
      <c r="Y151" s="5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</row>
    <row r="152" spans="1:76" s="4" customForma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4"/>
      <c r="L152" s="3"/>
      <c r="M152" s="3"/>
      <c r="N152" s="2"/>
      <c r="O152" s="21"/>
      <c r="P152" s="21"/>
      <c r="Q152" s="2"/>
      <c r="R152" s="2"/>
      <c r="S152" s="2"/>
      <c r="T152" s="11"/>
      <c r="U152" s="2"/>
      <c r="V152" s="11"/>
      <c r="W152" s="5"/>
      <c r="X152" s="2"/>
      <c r="Y152" s="5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</row>
    <row r="153" spans="1:76" s="4" customForma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4"/>
      <c r="L153" s="3"/>
      <c r="M153" s="3"/>
      <c r="N153" s="2"/>
      <c r="O153" s="21"/>
      <c r="P153" s="21"/>
      <c r="Q153" s="2"/>
      <c r="R153" s="2"/>
      <c r="S153" s="2"/>
      <c r="T153" s="11"/>
      <c r="U153" s="2"/>
      <c r="V153" s="11"/>
      <c r="W153" s="5"/>
      <c r="X153" s="2"/>
      <c r="Y153" s="5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</row>
    <row r="154" spans="1:76" s="4" customForma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4"/>
      <c r="L154" s="3"/>
      <c r="M154" s="3"/>
      <c r="N154" s="2"/>
      <c r="O154" s="21"/>
      <c r="P154" s="21"/>
      <c r="Q154" s="2"/>
      <c r="R154" s="2"/>
      <c r="S154" s="2"/>
      <c r="T154" s="11"/>
      <c r="U154" s="2"/>
      <c r="V154" s="11"/>
      <c r="W154" s="5"/>
      <c r="X154" s="2"/>
      <c r="Y154" s="5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</row>
    <row r="155" spans="1:76" s="4" customForma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4"/>
      <c r="L155" s="3"/>
      <c r="M155" s="3"/>
      <c r="N155" s="2"/>
      <c r="O155" s="21"/>
      <c r="P155" s="21"/>
      <c r="Q155" s="2"/>
      <c r="R155" s="2"/>
      <c r="S155" s="2"/>
      <c r="T155" s="11"/>
      <c r="U155" s="2"/>
      <c r="V155" s="11"/>
      <c r="W155" s="5"/>
      <c r="X155" s="2"/>
      <c r="Y155" s="5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</row>
    <row r="156" spans="1:76" s="4" customForma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4"/>
      <c r="L156" s="3"/>
      <c r="M156" s="3"/>
      <c r="N156" s="2"/>
      <c r="O156" s="21"/>
      <c r="P156" s="21"/>
      <c r="Q156" s="2"/>
      <c r="R156" s="2"/>
      <c r="S156" s="2"/>
      <c r="T156" s="11"/>
      <c r="U156" s="2"/>
      <c r="V156" s="11"/>
      <c r="W156" s="5"/>
      <c r="X156" s="2"/>
      <c r="Y156" s="5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</row>
    <row r="157" spans="1:76" s="4" customForma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4"/>
      <c r="L157" s="3"/>
      <c r="M157" s="3"/>
      <c r="N157" s="2"/>
      <c r="O157" s="21"/>
      <c r="P157" s="21"/>
      <c r="Q157" s="2"/>
      <c r="R157" s="2"/>
      <c r="S157" s="2"/>
      <c r="T157" s="11"/>
      <c r="U157" s="2"/>
      <c r="V157" s="11"/>
      <c r="W157" s="5"/>
      <c r="X157" s="2"/>
      <c r="Y157" s="5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</row>
    <row r="158" spans="1:76" s="4" customForma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4"/>
      <c r="L158" s="3"/>
      <c r="M158" s="3"/>
      <c r="N158" s="2"/>
      <c r="O158" s="21"/>
      <c r="P158" s="21"/>
      <c r="Q158" s="2"/>
      <c r="R158" s="2"/>
      <c r="S158" s="2"/>
      <c r="T158" s="11"/>
      <c r="U158" s="2"/>
      <c r="V158" s="11"/>
      <c r="W158" s="5"/>
      <c r="X158" s="2"/>
      <c r="Y158" s="5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</row>
    <row r="159" spans="1:76" s="4" customForma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4"/>
      <c r="L159" s="3"/>
      <c r="M159" s="3"/>
      <c r="N159" s="2"/>
      <c r="O159" s="21"/>
      <c r="P159" s="21"/>
      <c r="Q159" s="2"/>
      <c r="R159" s="2"/>
      <c r="S159" s="2"/>
      <c r="T159" s="11"/>
      <c r="U159" s="2"/>
      <c r="V159" s="11"/>
      <c r="W159" s="5"/>
      <c r="X159" s="2"/>
      <c r="Y159" s="5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</row>
    <row r="160" spans="1:76" s="4" customForma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4"/>
      <c r="L160" s="3"/>
      <c r="M160" s="3"/>
      <c r="N160" s="2"/>
      <c r="O160" s="21"/>
      <c r="P160" s="21"/>
      <c r="Q160" s="2"/>
      <c r="R160" s="2"/>
      <c r="S160" s="2"/>
      <c r="T160" s="11"/>
      <c r="U160" s="2"/>
      <c r="V160" s="11"/>
      <c r="W160" s="5"/>
      <c r="X160" s="2"/>
      <c r="Y160" s="5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</row>
    <row r="161" spans="1:76" s="4" customForma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4"/>
      <c r="L161" s="3"/>
      <c r="M161" s="3"/>
      <c r="N161" s="2"/>
      <c r="O161" s="21"/>
      <c r="P161" s="21"/>
      <c r="Q161" s="2"/>
      <c r="R161" s="2"/>
      <c r="S161" s="2"/>
      <c r="T161" s="11"/>
      <c r="U161" s="2"/>
      <c r="V161" s="11"/>
      <c r="W161" s="5"/>
      <c r="X161" s="2"/>
      <c r="Y161" s="5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</row>
    <row r="162" spans="1:76" s="4" customForma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4"/>
      <c r="L162" s="3"/>
      <c r="M162" s="3"/>
      <c r="N162" s="2"/>
      <c r="O162" s="21"/>
      <c r="P162" s="21"/>
      <c r="Q162" s="2"/>
      <c r="R162" s="2"/>
      <c r="S162" s="2"/>
      <c r="T162" s="11"/>
      <c r="U162" s="2"/>
      <c r="V162" s="11"/>
      <c r="W162" s="5"/>
      <c r="X162" s="2"/>
      <c r="Y162" s="5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</row>
    <row r="163" spans="1:76" s="4" customForma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4"/>
      <c r="L163" s="3"/>
      <c r="M163" s="3"/>
      <c r="N163" s="2"/>
      <c r="O163" s="21"/>
      <c r="P163" s="21"/>
      <c r="Q163" s="2"/>
      <c r="R163" s="2"/>
      <c r="S163" s="2"/>
      <c r="T163" s="11"/>
      <c r="U163" s="2"/>
      <c r="V163" s="11"/>
      <c r="W163" s="5"/>
      <c r="X163" s="2"/>
      <c r="Y163" s="5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</row>
    <row r="164" spans="1:76" s="4" customForma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4"/>
      <c r="L164" s="3"/>
      <c r="M164" s="3"/>
      <c r="N164" s="8"/>
      <c r="O164" s="23"/>
      <c r="P164" s="23"/>
      <c r="Q164" s="8"/>
      <c r="R164" s="8"/>
      <c r="S164" s="8"/>
      <c r="T164" s="13"/>
      <c r="U164" s="8"/>
      <c r="V164" s="13"/>
      <c r="W164" s="19"/>
      <c r="X164" s="8"/>
      <c r="Y164" s="19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</row>
    <row r="165" spans="1:76" s="4" customForma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4"/>
      <c r="L165" s="3"/>
      <c r="M165" s="3"/>
      <c r="N165" s="8"/>
      <c r="O165" s="23"/>
      <c r="P165" s="23"/>
      <c r="Q165" s="8"/>
      <c r="R165" s="8"/>
      <c r="S165" s="8"/>
      <c r="T165" s="13"/>
      <c r="U165" s="8"/>
      <c r="V165" s="13"/>
      <c r="W165" s="19"/>
      <c r="X165" s="8"/>
      <c r="Y165" s="19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</row>
    <row r="166" spans="1:76" s="4" customForma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4"/>
      <c r="L166" s="3"/>
      <c r="M166" s="3"/>
      <c r="N166" s="8"/>
      <c r="O166" s="23"/>
      <c r="P166" s="23"/>
      <c r="Q166" s="8"/>
      <c r="R166" s="8"/>
      <c r="S166" s="8"/>
      <c r="T166" s="13"/>
      <c r="U166" s="8"/>
      <c r="V166" s="13"/>
      <c r="W166" s="19"/>
      <c r="X166" s="8"/>
      <c r="Y166" s="19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</row>
    <row r="167" spans="1:76" s="4" customForma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4"/>
      <c r="L167" s="3"/>
      <c r="M167" s="3"/>
      <c r="N167" s="8"/>
      <c r="O167" s="23"/>
      <c r="P167" s="23"/>
      <c r="Q167" s="8"/>
      <c r="R167" s="8"/>
      <c r="S167" s="8"/>
      <c r="T167" s="13"/>
      <c r="U167" s="8"/>
      <c r="V167" s="13"/>
      <c r="W167" s="19"/>
      <c r="X167" s="8"/>
      <c r="Y167" s="19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</row>
    <row r="168" spans="1:76" s="4" customForma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4"/>
      <c r="L168" s="3"/>
      <c r="M168" s="3"/>
      <c r="N168" s="8"/>
      <c r="O168" s="23"/>
      <c r="P168" s="23"/>
      <c r="Q168" s="8"/>
      <c r="R168" s="8"/>
      <c r="S168" s="8"/>
      <c r="T168" s="13"/>
      <c r="U168" s="8"/>
      <c r="V168" s="13"/>
      <c r="W168" s="19"/>
      <c r="X168" s="8"/>
      <c r="Y168" s="19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</row>
    <row r="169" spans="1:76" s="4" customForma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4"/>
      <c r="L169" s="3"/>
      <c r="M169" s="3"/>
      <c r="N169" s="8"/>
      <c r="O169" s="23"/>
      <c r="P169" s="23"/>
      <c r="Q169" s="8"/>
      <c r="R169" s="8"/>
      <c r="S169" s="8"/>
      <c r="T169" s="13"/>
      <c r="U169" s="8"/>
      <c r="V169" s="13"/>
      <c r="W169" s="19"/>
      <c r="X169" s="8"/>
      <c r="Y169" s="19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</row>
    <row r="170" spans="1:76" s="4" customForma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4"/>
      <c r="L170" s="3"/>
      <c r="M170" s="3"/>
      <c r="N170" s="8"/>
      <c r="O170" s="23"/>
      <c r="P170" s="23"/>
      <c r="Q170" s="8"/>
      <c r="R170" s="8"/>
      <c r="S170" s="8"/>
      <c r="T170" s="13"/>
      <c r="U170" s="8"/>
      <c r="V170" s="13"/>
      <c r="W170" s="19"/>
      <c r="X170" s="8"/>
      <c r="Y170" s="19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</row>
    <row r="171" spans="1:76" s="4" customForma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4"/>
      <c r="L171" s="3"/>
      <c r="M171" s="3"/>
      <c r="N171" s="8"/>
      <c r="O171" s="23"/>
      <c r="P171" s="23"/>
      <c r="Q171" s="8"/>
      <c r="R171" s="8"/>
      <c r="S171" s="8"/>
      <c r="T171" s="13"/>
      <c r="U171" s="8"/>
      <c r="V171" s="13"/>
      <c r="W171" s="19"/>
      <c r="X171" s="8"/>
      <c r="Y171" s="19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</row>
    <row r="172" spans="1:76" s="4" customForma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4"/>
      <c r="L172" s="3"/>
      <c r="M172" s="3"/>
      <c r="N172" s="8"/>
      <c r="O172" s="23"/>
      <c r="P172" s="23"/>
      <c r="Q172" s="8"/>
      <c r="R172" s="8"/>
      <c r="S172" s="8"/>
      <c r="T172" s="13"/>
      <c r="U172" s="8"/>
      <c r="V172" s="13"/>
      <c r="W172" s="19"/>
      <c r="X172" s="8"/>
      <c r="Y172" s="19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</row>
    <row r="173" spans="1:76" s="4" customForma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4"/>
      <c r="L173" s="3"/>
      <c r="M173" s="3"/>
      <c r="N173" s="8"/>
      <c r="O173" s="23"/>
      <c r="P173" s="23"/>
      <c r="Q173" s="8"/>
      <c r="R173" s="8"/>
      <c r="S173" s="8"/>
      <c r="T173" s="13"/>
      <c r="U173" s="8"/>
      <c r="V173" s="13"/>
      <c r="W173" s="19"/>
      <c r="X173" s="8"/>
      <c r="Y173" s="19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</row>
    <row r="174" spans="1:76" s="4" customForma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4"/>
      <c r="L174" s="3"/>
      <c r="M174" s="3"/>
      <c r="N174" s="8"/>
      <c r="O174" s="23"/>
      <c r="P174" s="23"/>
      <c r="Q174" s="8"/>
      <c r="R174" s="8"/>
      <c r="S174" s="8"/>
      <c r="T174" s="13"/>
      <c r="U174" s="8"/>
      <c r="V174" s="13"/>
      <c r="W174" s="19"/>
      <c r="X174" s="8"/>
      <c r="Y174" s="19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</row>
    <row r="175" spans="1:76" s="4" customForma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4"/>
      <c r="L175" s="3"/>
      <c r="M175" s="3"/>
      <c r="N175" s="8"/>
      <c r="O175" s="23"/>
      <c r="P175" s="23"/>
      <c r="Q175" s="8"/>
      <c r="R175" s="8"/>
      <c r="S175" s="8"/>
      <c r="T175" s="13"/>
      <c r="U175" s="8"/>
      <c r="V175" s="13"/>
      <c r="W175" s="19"/>
      <c r="X175" s="8"/>
      <c r="Y175" s="19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</row>
    <row r="176" spans="1:76" s="4" customForma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4"/>
      <c r="L176" s="3"/>
      <c r="M176" s="3"/>
      <c r="N176" s="8"/>
      <c r="O176" s="23"/>
      <c r="P176" s="23"/>
      <c r="Q176" s="8"/>
      <c r="R176" s="8"/>
      <c r="S176" s="8"/>
      <c r="T176" s="13"/>
      <c r="U176" s="8"/>
      <c r="V176" s="13"/>
      <c r="W176" s="19"/>
      <c r="X176" s="8"/>
      <c r="Y176" s="19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</row>
    <row r="177" spans="1:76" s="4" customForma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4"/>
      <c r="L177" s="3"/>
      <c r="M177" s="3"/>
      <c r="N177" s="8"/>
      <c r="O177" s="23"/>
      <c r="P177" s="23"/>
      <c r="Q177" s="8"/>
      <c r="R177" s="8"/>
      <c r="S177" s="8"/>
      <c r="T177" s="13"/>
      <c r="U177" s="8"/>
      <c r="V177" s="13"/>
      <c r="W177" s="19"/>
      <c r="X177" s="8"/>
      <c r="Y177" s="19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</row>
    <row r="178" spans="1:76" s="4" customForma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4"/>
      <c r="L178" s="3"/>
      <c r="M178" s="3"/>
      <c r="N178" s="8"/>
      <c r="O178" s="23"/>
      <c r="P178" s="23"/>
      <c r="Q178" s="8"/>
      <c r="R178" s="8"/>
      <c r="S178" s="8"/>
      <c r="T178" s="13"/>
      <c r="U178" s="8"/>
      <c r="V178" s="13"/>
      <c r="W178" s="19"/>
      <c r="X178" s="8"/>
      <c r="Y178" s="19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</row>
    <row r="179" spans="1:76" s="4" customForma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4"/>
      <c r="L179" s="3"/>
      <c r="M179" s="3"/>
      <c r="N179" s="8"/>
      <c r="O179" s="23"/>
      <c r="P179" s="23"/>
      <c r="Q179" s="8"/>
      <c r="R179" s="8"/>
      <c r="S179" s="8"/>
      <c r="T179" s="13"/>
      <c r="U179" s="8"/>
      <c r="V179" s="13"/>
      <c r="W179" s="19"/>
      <c r="X179" s="8"/>
      <c r="Y179" s="19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</row>
    <row r="180" spans="1:76" s="4" customForma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4"/>
      <c r="L180" s="3"/>
      <c r="M180" s="3"/>
      <c r="N180" s="8"/>
      <c r="O180" s="23"/>
      <c r="P180" s="23"/>
      <c r="Q180" s="8"/>
      <c r="R180" s="8"/>
      <c r="S180" s="8"/>
      <c r="T180" s="13"/>
      <c r="U180" s="8"/>
      <c r="V180" s="13"/>
      <c r="W180" s="19"/>
      <c r="X180" s="8"/>
      <c r="Y180" s="19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</row>
    <row r="181" spans="1:76" s="4" customForma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4"/>
      <c r="L181" s="3"/>
      <c r="M181" s="3"/>
      <c r="N181" s="8"/>
      <c r="O181" s="23"/>
      <c r="P181" s="23"/>
      <c r="Q181" s="8"/>
      <c r="R181" s="8"/>
      <c r="S181" s="8"/>
      <c r="T181" s="13"/>
      <c r="U181" s="8"/>
      <c r="V181" s="13"/>
      <c r="W181" s="19"/>
      <c r="X181" s="8"/>
      <c r="Y181" s="19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</row>
    <row r="182" spans="1:76" s="4" customForma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4"/>
      <c r="L182" s="3"/>
      <c r="M182" s="3"/>
      <c r="N182" s="8"/>
      <c r="O182" s="23"/>
      <c r="P182" s="23"/>
      <c r="Q182" s="8"/>
      <c r="R182" s="8"/>
      <c r="S182" s="8"/>
      <c r="T182" s="13"/>
      <c r="U182" s="8"/>
      <c r="V182" s="13"/>
      <c r="W182" s="19"/>
      <c r="X182" s="8"/>
      <c r="Y182" s="19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</row>
    <row r="183" spans="1:76" s="4" customForma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4"/>
      <c r="L183" s="3"/>
      <c r="M183" s="3"/>
      <c r="N183" s="8"/>
      <c r="O183" s="23"/>
      <c r="P183" s="23"/>
      <c r="Q183" s="8"/>
      <c r="R183" s="8"/>
      <c r="S183" s="8"/>
      <c r="T183" s="13"/>
      <c r="U183" s="8"/>
      <c r="V183" s="13"/>
      <c r="W183" s="19"/>
      <c r="X183" s="8"/>
      <c r="Y183" s="19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</row>
    <row r="184" spans="1:76" s="4" customForma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4"/>
      <c r="L184" s="3"/>
      <c r="M184" s="3"/>
      <c r="N184" s="8"/>
      <c r="O184" s="23"/>
      <c r="P184" s="23"/>
      <c r="Q184" s="8"/>
      <c r="R184" s="8"/>
      <c r="S184" s="8"/>
      <c r="T184" s="13"/>
      <c r="U184" s="8"/>
      <c r="V184" s="13"/>
      <c r="W184" s="19"/>
      <c r="X184" s="8"/>
      <c r="Y184" s="19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</row>
    <row r="185" spans="1:76" s="4" customForma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4"/>
      <c r="L185" s="3"/>
      <c r="M185" s="3"/>
      <c r="N185" s="8"/>
      <c r="O185" s="23"/>
      <c r="P185" s="23"/>
      <c r="Q185" s="8"/>
      <c r="R185" s="8"/>
      <c r="S185" s="8"/>
      <c r="T185" s="13"/>
      <c r="U185" s="8"/>
      <c r="V185" s="13"/>
      <c r="W185" s="19"/>
      <c r="X185" s="8"/>
      <c r="Y185" s="19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</row>
    <row r="186" spans="1:76" s="4" customForma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4"/>
      <c r="L186" s="3"/>
      <c r="M186" s="3"/>
      <c r="N186" s="8"/>
      <c r="O186" s="23"/>
      <c r="P186" s="23"/>
      <c r="Q186" s="8"/>
      <c r="R186" s="8"/>
      <c r="S186" s="8"/>
      <c r="T186" s="13"/>
      <c r="U186" s="8"/>
      <c r="V186" s="13"/>
      <c r="W186" s="19"/>
      <c r="X186" s="8"/>
      <c r="Y186" s="19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</row>
    <row r="187" spans="1:76" s="4" customForma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4"/>
      <c r="L187" s="3"/>
      <c r="M187" s="3"/>
      <c r="N187" s="8"/>
      <c r="O187" s="23"/>
      <c r="P187" s="23"/>
      <c r="Q187" s="8"/>
      <c r="R187" s="8"/>
      <c r="S187" s="8"/>
      <c r="T187" s="13"/>
      <c r="U187" s="8"/>
      <c r="V187" s="13"/>
      <c r="W187" s="19"/>
      <c r="X187" s="8"/>
      <c r="Y187" s="19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</row>
    <row r="188" spans="1:76" s="4" customForma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4"/>
      <c r="L188" s="3"/>
      <c r="M188" s="3"/>
      <c r="N188" s="8"/>
      <c r="O188" s="23"/>
      <c r="P188" s="23"/>
      <c r="Q188" s="8"/>
      <c r="R188" s="8"/>
      <c r="S188" s="8"/>
      <c r="T188" s="13"/>
      <c r="U188" s="8"/>
      <c r="V188" s="13"/>
      <c r="W188" s="19"/>
      <c r="X188" s="8"/>
      <c r="Y188" s="19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</row>
    <row r="189" spans="1:76" s="4" customForma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4"/>
      <c r="L189" s="3"/>
      <c r="M189" s="3"/>
      <c r="N189" s="8"/>
      <c r="O189" s="23"/>
      <c r="P189" s="23"/>
      <c r="Q189" s="8"/>
      <c r="R189" s="8"/>
      <c r="S189" s="8"/>
      <c r="T189" s="13"/>
      <c r="U189" s="8"/>
      <c r="V189" s="13"/>
      <c r="W189" s="19"/>
      <c r="X189" s="8"/>
      <c r="Y189" s="19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</row>
    <row r="190" spans="1:76" s="4" customForma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4"/>
      <c r="L190" s="3"/>
      <c r="M190" s="3"/>
      <c r="N190" s="8"/>
      <c r="O190" s="23"/>
      <c r="P190" s="23"/>
      <c r="Q190" s="8"/>
      <c r="R190" s="8"/>
      <c r="S190" s="8"/>
      <c r="T190" s="13"/>
      <c r="U190" s="8"/>
      <c r="V190" s="13"/>
      <c r="W190" s="19"/>
      <c r="X190" s="8"/>
      <c r="Y190" s="19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</row>
    <row r="191" spans="1:76" s="4" customForma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4"/>
      <c r="L191" s="3"/>
      <c r="M191" s="3"/>
      <c r="N191" s="8"/>
      <c r="O191" s="23"/>
      <c r="P191" s="23"/>
      <c r="Q191" s="8"/>
      <c r="R191" s="8"/>
      <c r="S191" s="8"/>
      <c r="T191" s="13"/>
      <c r="U191" s="8"/>
      <c r="V191" s="13"/>
      <c r="W191" s="19"/>
      <c r="X191" s="8"/>
      <c r="Y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</row>
    <row r="192" spans="1:76" s="4" customForma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4"/>
      <c r="L192" s="3"/>
      <c r="M192" s="3"/>
      <c r="N192" s="8"/>
      <c r="O192" s="23"/>
      <c r="P192" s="23"/>
      <c r="Q192" s="8"/>
      <c r="R192" s="8"/>
      <c r="S192" s="8"/>
      <c r="T192" s="13"/>
      <c r="U192" s="8"/>
      <c r="V192" s="13"/>
      <c r="W192" s="19"/>
      <c r="X192" s="8"/>
      <c r="Y192" s="19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</row>
    <row r="193" spans="1:76" s="4" customForma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4"/>
      <c r="L193" s="3"/>
      <c r="M193" s="3"/>
      <c r="N193" s="8"/>
      <c r="O193" s="23"/>
      <c r="P193" s="23"/>
      <c r="Q193" s="8"/>
      <c r="R193" s="8"/>
      <c r="S193" s="8"/>
      <c r="T193" s="13"/>
      <c r="U193" s="8"/>
      <c r="V193" s="13"/>
      <c r="W193" s="19"/>
      <c r="X193" s="8"/>
      <c r="Y193" s="19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</row>
    <row r="194" spans="1:76" s="4" customForma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4"/>
      <c r="L194" s="3"/>
      <c r="M194" s="3"/>
      <c r="N194" s="8"/>
      <c r="O194" s="23"/>
      <c r="P194" s="23"/>
      <c r="Q194" s="8"/>
      <c r="R194" s="8"/>
      <c r="S194" s="8"/>
      <c r="T194" s="13"/>
      <c r="U194" s="8"/>
      <c r="V194" s="13"/>
      <c r="W194" s="19"/>
      <c r="X194" s="8"/>
      <c r="Y194" s="19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</row>
    <row r="195" spans="1:76" s="4" customForma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4"/>
      <c r="L195" s="3"/>
      <c r="M195" s="3"/>
      <c r="N195" s="8"/>
      <c r="O195" s="23"/>
      <c r="P195" s="23"/>
      <c r="Q195" s="8"/>
      <c r="R195" s="8"/>
      <c r="S195" s="8"/>
      <c r="T195" s="13"/>
      <c r="U195" s="8"/>
      <c r="V195" s="13"/>
      <c r="W195" s="19"/>
      <c r="X195" s="8"/>
      <c r="Y195" s="19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</row>
    <row r="196" spans="1:76" s="4" customForma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4"/>
      <c r="L196" s="3"/>
      <c r="M196" s="3"/>
      <c r="N196" s="8"/>
      <c r="O196" s="23"/>
      <c r="P196" s="23"/>
      <c r="Q196" s="8"/>
      <c r="R196" s="8"/>
      <c r="S196" s="8"/>
      <c r="T196" s="13"/>
      <c r="U196" s="8"/>
      <c r="V196" s="13"/>
      <c r="W196" s="19"/>
      <c r="X196" s="8"/>
      <c r="Y196" s="19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</row>
    <row r="197" spans="1:76" s="4" customForma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4"/>
      <c r="L197" s="3"/>
      <c r="M197" s="3"/>
      <c r="N197" s="8"/>
      <c r="O197" s="23"/>
      <c r="P197" s="23"/>
      <c r="Q197" s="8"/>
      <c r="R197" s="8"/>
      <c r="S197" s="8"/>
      <c r="T197" s="13"/>
      <c r="U197" s="8"/>
      <c r="V197" s="13"/>
      <c r="W197" s="19"/>
      <c r="X197" s="8"/>
      <c r="Y197" s="19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</row>
    <row r="198" spans="1:76" s="4" customForma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4"/>
      <c r="L198" s="3"/>
      <c r="M198" s="3"/>
      <c r="N198" s="8"/>
      <c r="O198" s="23"/>
      <c r="P198" s="23"/>
      <c r="Q198" s="8"/>
      <c r="R198" s="8"/>
      <c r="S198" s="8"/>
      <c r="T198" s="13"/>
      <c r="U198" s="8"/>
      <c r="V198" s="13"/>
      <c r="W198" s="19"/>
      <c r="X198" s="8"/>
      <c r="Y198" s="19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</row>
    <row r="199" spans="1:76" s="4" customForma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4"/>
      <c r="L199" s="3"/>
      <c r="M199" s="3"/>
      <c r="N199" s="8"/>
      <c r="O199" s="23"/>
      <c r="P199" s="23"/>
      <c r="Q199" s="8"/>
      <c r="R199" s="8"/>
      <c r="S199" s="8"/>
      <c r="T199" s="13"/>
      <c r="U199" s="8"/>
      <c r="V199" s="13"/>
      <c r="W199" s="19"/>
      <c r="X199" s="8"/>
      <c r="Y199" s="19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</row>
    <row r="200" spans="1:76" s="4" customForma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4"/>
      <c r="L200" s="3"/>
      <c r="M200" s="3"/>
      <c r="N200" s="8"/>
      <c r="O200" s="23"/>
      <c r="P200" s="23"/>
      <c r="Q200" s="8"/>
      <c r="R200" s="8"/>
      <c r="S200" s="8"/>
      <c r="T200" s="13"/>
      <c r="U200" s="8"/>
      <c r="V200" s="13"/>
      <c r="W200" s="19"/>
      <c r="X200" s="8"/>
      <c r="Y200" s="19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</row>
    <row r="201" spans="1:76" s="4" customForma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4"/>
      <c r="L201" s="3"/>
      <c r="M201" s="3"/>
      <c r="N201" s="8"/>
      <c r="O201" s="23"/>
      <c r="P201" s="23"/>
      <c r="Q201" s="8"/>
      <c r="R201" s="8"/>
      <c r="S201" s="8"/>
      <c r="T201" s="13"/>
      <c r="U201" s="8"/>
      <c r="V201" s="13"/>
      <c r="W201" s="19"/>
      <c r="X201" s="8"/>
      <c r="Y201" s="19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</row>
    <row r="202" spans="1:76" s="4" customForma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4"/>
      <c r="L202" s="3"/>
      <c r="M202" s="3"/>
      <c r="N202" s="8"/>
      <c r="O202" s="23"/>
      <c r="P202" s="23"/>
      <c r="Q202" s="8"/>
      <c r="R202" s="8"/>
      <c r="S202" s="8"/>
      <c r="T202" s="13"/>
      <c r="U202" s="8"/>
      <c r="V202" s="13"/>
      <c r="W202" s="19"/>
      <c r="X202" s="8"/>
      <c r="Y202" s="19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</row>
    <row r="203" spans="1:76" s="4" customForma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4"/>
      <c r="L203" s="3"/>
      <c r="M203" s="3"/>
      <c r="N203" s="8"/>
      <c r="O203" s="23"/>
      <c r="P203" s="23"/>
      <c r="Q203" s="8"/>
      <c r="R203" s="8"/>
      <c r="S203" s="8"/>
      <c r="T203" s="13"/>
      <c r="U203" s="8"/>
      <c r="V203" s="13"/>
      <c r="W203" s="19"/>
      <c r="X203" s="8"/>
      <c r="Y203" s="19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</row>
    <row r="204" spans="1:76" s="4" customForma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4"/>
      <c r="L204" s="3"/>
      <c r="M204" s="3"/>
      <c r="N204" s="8"/>
      <c r="O204" s="23"/>
      <c r="P204" s="23"/>
      <c r="Q204" s="8"/>
      <c r="R204" s="8"/>
      <c r="S204" s="8"/>
      <c r="T204" s="13"/>
      <c r="U204" s="8"/>
      <c r="V204" s="13"/>
      <c r="W204" s="19"/>
      <c r="X204" s="8"/>
      <c r="Y204" s="19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</row>
    <row r="205" spans="1:76" s="4" customForma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4"/>
      <c r="L205" s="3"/>
      <c r="M205" s="3"/>
      <c r="N205" s="8"/>
      <c r="O205" s="23"/>
      <c r="P205" s="23"/>
      <c r="Q205" s="8"/>
      <c r="R205" s="8"/>
      <c r="S205" s="8"/>
      <c r="T205" s="13"/>
      <c r="U205" s="8"/>
      <c r="V205" s="13"/>
      <c r="W205" s="19"/>
      <c r="X205" s="8"/>
      <c r="Y205" s="19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</row>
    <row r="206" spans="1:76" s="4" customForma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4"/>
      <c r="L206" s="3"/>
      <c r="M206" s="3"/>
      <c r="N206" s="8"/>
      <c r="O206" s="23"/>
      <c r="P206" s="23"/>
      <c r="Q206" s="8"/>
      <c r="R206" s="8"/>
      <c r="S206" s="8"/>
      <c r="T206" s="13"/>
      <c r="U206" s="8"/>
      <c r="V206" s="13"/>
      <c r="W206" s="19"/>
      <c r="X206" s="8"/>
      <c r="Y206" s="19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</row>
    <row r="207" spans="1:76" s="4" customForma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4"/>
      <c r="L207" s="3"/>
      <c r="M207" s="3"/>
      <c r="N207" s="8"/>
      <c r="O207" s="23"/>
      <c r="P207" s="23"/>
      <c r="Q207" s="8"/>
      <c r="R207" s="8"/>
      <c r="S207" s="8"/>
      <c r="T207" s="13"/>
      <c r="U207" s="8"/>
      <c r="V207" s="13"/>
      <c r="W207" s="19"/>
      <c r="X207" s="8"/>
      <c r="Y207" s="19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</row>
    <row r="208" spans="1:76" s="4" customForma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4"/>
      <c r="L208" s="3"/>
      <c r="M208" s="3"/>
      <c r="N208" s="8"/>
      <c r="O208" s="23"/>
      <c r="P208" s="23"/>
      <c r="Q208" s="8"/>
      <c r="R208" s="8"/>
      <c r="S208" s="8"/>
      <c r="T208" s="13"/>
      <c r="U208" s="8"/>
      <c r="V208" s="13"/>
      <c r="W208" s="19"/>
      <c r="X208" s="8"/>
      <c r="Y208" s="19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A841-0366-4E1E-A271-797851AFEF91}">
  <dimension ref="A1:BX188"/>
  <sheetViews>
    <sheetView topLeftCell="P46" zoomScale="120" zoomScaleNormal="120" workbookViewId="0">
      <selection activeCell="V84" sqref="V84"/>
    </sheetView>
  </sheetViews>
  <sheetFormatPr defaultColWidth="8.90625" defaultRowHeight="14" x14ac:dyDescent="0.3"/>
  <cols>
    <col min="1" max="4" width="22.08984375" style="1" customWidth="1"/>
    <col min="5" max="5" width="18.81640625" style="1" customWidth="1"/>
    <col min="6" max="6" width="17.36328125" style="1" customWidth="1"/>
    <col min="7" max="7" width="16.6328125" style="1" customWidth="1"/>
    <col min="8" max="8" width="20.90625" style="1" customWidth="1"/>
    <col min="9" max="9" width="19.1796875" style="1" customWidth="1"/>
    <col min="10" max="10" width="23.08984375" style="1" customWidth="1"/>
    <col min="11" max="11" width="13.6328125" style="14" customWidth="1"/>
    <col min="12" max="12" width="20.90625" style="3" customWidth="1"/>
    <col min="13" max="13" width="27.36328125" style="3" customWidth="1"/>
    <col min="14" max="14" width="20.6328125" style="8" customWidth="1"/>
    <col min="15" max="15" width="20.6328125" style="23" customWidth="1"/>
    <col min="16" max="16" width="32.90625" style="23" customWidth="1"/>
    <col min="17" max="17" width="23.1796875" style="8" customWidth="1"/>
    <col min="18" max="18" width="30.90625" style="8" customWidth="1"/>
    <col min="19" max="19" width="20.6328125" style="8" customWidth="1"/>
    <col min="20" max="20" width="20.6328125" style="13" customWidth="1"/>
    <col min="21" max="21" width="20.6328125" style="8" customWidth="1"/>
    <col min="22" max="22" width="20.6328125" style="13" customWidth="1"/>
    <col min="23" max="23" width="23.81640625" style="19" customWidth="1"/>
    <col min="24" max="24" width="47.36328125" style="8" customWidth="1"/>
    <col min="25" max="25" width="51.6328125" style="19" customWidth="1"/>
    <col min="26" max="16384" width="8.90625" style="6"/>
  </cols>
  <sheetData>
    <row r="1" spans="1:25" s="24" customFormat="1" ht="53.4" customHeight="1" x14ac:dyDescent="0.35">
      <c r="A1" s="15" t="s">
        <v>7</v>
      </c>
      <c r="B1" s="16" t="s">
        <v>6</v>
      </c>
      <c r="C1" s="15" t="s">
        <v>2</v>
      </c>
      <c r="D1" s="15" t="s">
        <v>1</v>
      </c>
      <c r="E1" s="16" t="s">
        <v>0</v>
      </c>
      <c r="F1" s="15" t="s">
        <v>3</v>
      </c>
      <c r="G1" s="16" t="s">
        <v>10</v>
      </c>
      <c r="H1" s="15" t="s">
        <v>4</v>
      </c>
      <c r="I1" s="16" t="s">
        <v>11</v>
      </c>
      <c r="J1" s="16" t="s">
        <v>8</v>
      </c>
      <c r="K1" s="15" t="s">
        <v>5</v>
      </c>
      <c r="L1" s="16" t="s">
        <v>9</v>
      </c>
      <c r="M1" s="10" t="s">
        <v>19</v>
      </c>
      <c r="N1" s="17" t="s">
        <v>26</v>
      </c>
      <c r="O1" s="22" t="s">
        <v>17</v>
      </c>
      <c r="P1" s="22" t="s">
        <v>18</v>
      </c>
      <c r="Q1" s="18" t="s">
        <v>12</v>
      </c>
      <c r="R1" s="17" t="s">
        <v>15</v>
      </c>
      <c r="S1" s="17" t="s">
        <v>16</v>
      </c>
      <c r="T1" s="12" t="s">
        <v>13</v>
      </c>
      <c r="U1" s="17" t="s">
        <v>14</v>
      </c>
      <c r="V1" s="12" t="s">
        <v>22</v>
      </c>
      <c r="W1" s="12" t="s">
        <v>21</v>
      </c>
      <c r="X1" s="25" t="s">
        <v>23</v>
      </c>
      <c r="Y1" s="25" t="s">
        <v>20</v>
      </c>
    </row>
    <row r="2" spans="1:25" x14ac:dyDescent="0.3">
      <c r="A2" s="1">
        <v>0</v>
      </c>
      <c r="B2" s="1">
        <f>(A2/60)</f>
        <v>0</v>
      </c>
      <c r="C2" s="1">
        <v>20</v>
      </c>
      <c r="D2" s="1">
        <f t="shared" ref="D2:D62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14">
        <v>36.207920792079214</v>
      </c>
      <c r="L2" s="2">
        <f>(K2/1000000)</f>
        <v>3.6207920792079216E-5</v>
      </c>
      <c r="M2" s="3">
        <f>(3.142*3.07*3.07*25.4*25.4)/(4*1000000)</f>
        <v>4.7762865441819992E-3</v>
      </c>
      <c r="N2" s="2">
        <f>(L2*J2)/M2</f>
        <v>1.5256163129819286E-7</v>
      </c>
      <c r="O2" s="21">
        <f>(2.032/1000)</f>
        <v>2.032E-3</v>
      </c>
      <c r="P2" s="21">
        <v>1.0571269522665299E-10</v>
      </c>
      <c r="Q2" s="2">
        <v>0.32</v>
      </c>
      <c r="R2" s="2">
        <f>(1+Q2)*100000*1</f>
        <v>132000</v>
      </c>
      <c r="S2" s="2">
        <f>(5.24933748552653/1000)</f>
        <v>5.2493374855265302E-3</v>
      </c>
      <c r="T2" s="11">
        <v>0.11</v>
      </c>
      <c r="U2" s="11">
        <f>(1+T2)*100000</f>
        <v>111000.00000000001</v>
      </c>
      <c r="V2" s="11">
        <f t="shared" ref="V2:V62" si="1">(L2*U2)</f>
        <v>4.0190792079207931</v>
      </c>
      <c r="W2" s="11">
        <f>((N2*O2/P2) + SQRT(V2))^2</f>
        <v>24.376834507634044</v>
      </c>
      <c r="X2" s="2">
        <f>(N2*S2)/(R2-W2)</f>
        <v>6.0681470624499286E-15</v>
      </c>
      <c r="Y2" s="2">
        <f>(X2*6.022E+23)</f>
        <v>3654238161.0073471</v>
      </c>
    </row>
    <row r="3" spans="1:25" x14ac:dyDescent="0.3">
      <c r="A3" s="26">
        <v>3</v>
      </c>
      <c r="B3" s="26">
        <f t="shared" ref="B3:B62" si="2">(A3/60)</f>
        <v>0.05</v>
      </c>
      <c r="C3" s="26">
        <v>20</v>
      </c>
      <c r="D3" s="26">
        <f t="shared" si="0"/>
        <v>29.146000000000001</v>
      </c>
      <c r="E3" s="26">
        <f t="shared" ref="E3:E62" si="3">(D3/(1000000*60))</f>
        <v>4.8576666666666667E-7</v>
      </c>
      <c r="F3" s="26">
        <v>21.1</v>
      </c>
      <c r="G3" s="26">
        <f t="shared" ref="G3:G62" si="4">(273+F3)</f>
        <v>294.10000000000002</v>
      </c>
      <c r="H3" s="26">
        <v>101.3</v>
      </c>
      <c r="I3" s="26">
        <f t="shared" ref="I3:I62" si="5">(H3*1000)</f>
        <v>101300</v>
      </c>
      <c r="J3" s="26">
        <f t="shared" ref="J3:J62" si="6">((I3*E3)/(8.314*G3))</f>
        <v>2.0124824921938581E-5</v>
      </c>
      <c r="K3" s="28">
        <v>36.405940594059402</v>
      </c>
      <c r="L3" s="27">
        <f t="shared" ref="L3:L62" si="7">(K3/1000000)</f>
        <v>3.6405940594059401E-5</v>
      </c>
      <c r="M3" s="29">
        <f t="shared" ref="M3:M66" si="8">(3.142*3.07*3.07*25.4*25.4)/(4*1000000)</f>
        <v>4.7762865441819992E-3</v>
      </c>
      <c r="N3" s="27">
        <f t="shared" ref="N3:N62" si="9">(L3*J3)/M3</f>
        <v>1.5339598531130844E-7</v>
      </c>
      <c r="O3" s="21">
        <f t="shared" ref="O3:O66" si="10">(2.032/1000)</f>
        <v>2.032E-3</v>
      </c>
      <c r="P3" s="21">
        <v>1.0571269522665299E-10</v>
      </c>
      <c r="Q3" s="2">
        <v>0.32</v>
      </c>
      <c r="R3" s="27">
        <f t="shared" ref="R3:R62" si="11">(1+Q3)*100000*1</f>
        <v>132000</v>
      </c>
      <c r="S3" s="2">
        <f t="shared" ref="S3:S66" si="12">(5.24933748552653/1000)</f>
        <v>5.2493374855265302E-3</v>
      </c>
      <c r="T3" s="11">
        <v>0.11</v>
      </c>
      <c r="U3" s="30">
        <f t="shared" ref="U3:U62" si="13">(1+T3)*100000</f>
        <v>111000.00000000001</v>
      </c>
      <c r="V3" s="30">
        <f t="shared" si="1"/>
        <v>4.0410594059405938</v>
      </c>
      <c r="W3" s="11">
        <f t="shared" ref="W3:W62" si="14">((N3*O3/P3) + SQRT(V3))^2</f>
        <v>24.589723161834424</v>
      </c>
      <c r="X3" s="2">
        <f t="shared" ref="X3:X62" si="15">(N3*S3)/(R3-W3)</f>
        <v>6.1013433800648444E-15</v>
      </c>
      <c r="Y3" s="2">
        <f t="shared" ref="Y3:Y62" si="16">(X3*6.022E+23)</f>
        <v>3674228983.4750495</v>
      </c>
    </row>
    <row r="4" spans="1:25" x14ac:dyDescent="0.3">
      <c r="A4" s="26">
        <v>6</v>
      </c>
      <c r="B4" s="26">
        <f t="shared" si="2"/>
        <v>0.1</v>
      </c>
      <c r="C4" s="26">
        <v>20</v>
      </c>
      <c r="D4" s="26">
        <f t="shared" si="0"/>
        <v>29.146000000000001</v>
      </c>
      <c r="E4" s="26">
        <f t="shared" si="3"/>
        <v>4.8576666666666667E-7</v>
      </c>
      <c r="F4" s="26">
        <v>21.1</v>
      </c>
      <c r="G4" s="26">
        <f t="shared" si="4"/>
        <v>294.10000000000002</v>
      </c>
      <c r="H4" s="26">
        <v>101.3</v>
      </c>
      <c r="I4" s="26">
        <f t="shared" si="5"/>
        <v>101300</v>
      </c>
      <c r="J4" s="26">
        <f t="shared" si="6"/>
        <v>2.0124824921938581E-5</v>
      </c>
      <c r="K4" s="28">
        <v>26.331683168316836</v>
      </c>
      <c r="L4" s="27">
        <f t="shared" si="7"/>
        <v>2.6331683168316835E-5</v>
      </c>
      <c r="M4" s="29">
        <f t="shared" si="8"/>
        <v>4.7762865441819992E-3</v>
      </c>
      <c r="N4" s="27">
        <f t="shared" si="9"/>
        <v>1.1094822489405083E-7</v>
      </c>
      <c r="O4" s="21">
        <f t="shared" si="10"/>
        <v>2.032E-3</v>
      </c>
      <c r="P4" s="21">
        <v>1.0571269522665299E-10</v>
      </c>
      <c r="Q4" s="2">
        <v>0.32</v>
      </c>
      <c r="R4" s="27">
        <f t="shared" si="11"/>
        <v>132000</v>
      </c>
      <c r="S4" s="2">
        <f t="shared" si="12"/>
        <v>5.2493374855265302E-3</v>
      </c>
      <c r="T4" s="11">
        <v>0.11</v>
      </c>
      <c r="U4" s="30">
        <f t="shared" si="13"/>
        <v>111000.00000000001</v>
      </c>
      <c r="V4" s="30">
        <f t="shared" si="1"/>
        <v>2.9228168316831691</v>
      </c>
      <c r="W4" s="11">
        <f t="shared" si="14"/>
        <v>14.762974569910776</v>
      </c>
      <c r="X4" s="2">
        <f t="shared" si="15"/>
        <v>4.4126501494766014E-15</v>
      </c>
      <c r="Y4" s="2">
        <f t="shared" si="16"/>
        <v>2657297920.0148096</v>
      </c>
    </row>
    <row r="5" spans="1:25" x14ac:dyDescent="0.3">
      <c r="A5" s="26">
        <v>9</v>
      </c>
      <c r="B5" s="26">
        <f t="shared" si="2"/>
        <v>0.15</v>
      </c>
      <c r="C5" s="26">
        <v>20</v>
      </c>
      <c r="D5" s="26">
        <f t="shared" si="0"/>
        <v>29.146000000000001</v>
      </c>
      <c r="E5" s="26">
        <f t="shared" si="3"/>
        <v>4.8576666666666667E-7</v>
      </c>
      <c r="F5" s="26">
        <v>21.1</v>
      </c>
      <c r="G5" s="26">
        <f t="shared" si="4"/>
        <v>294.10000000000002</v>
      </c>
      <c r="H5" s="26">
        <v>101.3</v>
      </c>
      <c r="I5" s="26">
        <f t="shared" si="5"/>
        <v>101300</v>
      </c>
      <c r="J5" s="26">
        <f t="shared" si="6"/>
        <v>2.0124824921938581E-5</v>
      </c>
      <c r="K5" s="28">
        <v>33.509900990099005</v>
      </c>
      <c r="L5" s="27">
        <f t="shared" si="7"/>
        <v>3.3509900990099003E-5</v>
      </c>
      <c r="M5" s="29">
        <f t="shared" si="8"/>
        <v>4.7762865441819992E-3</v>
      </c>
      <c r="N5" s="27">
        <f t="shared" si="9"/>
        <v>1.4119355786949234E-7</v>
      </c>
      <c r="O5" s="21">
        <f t="shared" si="10"/>
        <v>2.032E-3</v>
      </c>
      <c r="P5" s="21">
        <v>1.0571269522665299E-10</v>
      </c>
      <c r="Q5" s="2">
        <v>0.32</v>
      </c>
      <c r="R5" s="27">
        <f t="shared" si="11"/>
        <v>132000</v>
      </c>
      <c r="S5" s="2">
        <f t="shared" si="12"/>
        <v>5.2493374855265302E-3</v>
      </c>
      <c r="T5" s="11">
        <v>0.11</v>
      </c>
      <c r="U5" s="30">
        <f t="shared" si="13"/>
        <v>111000.00000000001</v>
      </c>
      <c r="V5" s="30">
        <f t="shared" si="1"/>
        <v>3.7195990099009899</v>
      </c>
      <c r="W5" s="11">
        <f t="shared" si="14"/>
        <v>21.554070653701583</v>
      </c>
      <c r="X5" s="2">
        <f t="shared" si="15"/>
        <v>5.6158612174897636E-15</v>
      </c>
      <c r="Y5" s="2">
        <f t="shared" si="16"/>
        <v>3381871625.1723356</v>
      </c>
    </row>
    <row r="6" spans="1:25" x14ac:dyDescent="0.3">
      <c r="A6" s="26">
        <v>12</v>
      </c>
      <c r="B6" s="26">
        <f t="shared" si="2"/>
        <v>0.2</v>
      </c>
      <c r="C6" s="26">
        <v>20</v>
      </c>
      <c r="D6" s="26">
        <f t="shared" si="0"/>
        <v>29.146000000000001</v>
      </c>
      <c r="E6" s="26">
        <f t="shared" si="3"/>
        <v>4.8576666666666667E-7</v>
      </c>
      <c r="F6" s="26">
        <v>21.1</v>
      </c>
      <c r="G6" s="26">
        <f t="shared" si="4"/>
        <v>294.10000000000002</v>
      </c>
      <c r="H6" s="26">
        <v>101.3</v>
      </c>
      <c r="I6" s="26">
        <f t="shared" si="5"/>
        <v>101300</v>
      </c>
      <c r="J6" s="26">
        <f t="shared" si="6"/>
        <v>2.0124824921938581E-5</v>
      </c>
      <c r="K6" s="28">
        <v>28.559405940594058</v>
      </c>
      <c r="L6" s="27">
        <f t="shared" si="7"/>
        <v>2.8559405940594059E-5</v>
      </c>
      <c r="M6" s="29">
        <f t="shared" si="8"/>
        <v>4.7762865441819992E-3</v>
      </c>
      <c r="N6" s="27">
        <f t="shared" si="9"/>
        <v>1.2033470754160165E-7</v>
      </c>
      <c r="O6" s="21">
        <f t="shared" si="10"/>
        <v>2.032E-3</v>
      </c>
      <c r="P6" s="21">
        <v>1.0571269522665299E-10</v>
      </c>
      <c r="Q6" s="2">
        <v>0.32</v>
      </c>
      <c r="R6" s="27">
        <f t="shared" si="11"/>
        <v>132000</v>
      </c>
      <c r="S6" s="2">
        <f t="shared" si="12"/>
        <v>5.2493374855265302E-3</v>
      </c>
      <c r="T6" s="11">
        <v>0.11</v>
      </c>
      <c r="U6" s="30">
        <f t="shared" si="13"/>
        <v>111000.00000000001</v>
      </c>
      <c r="V6" s="30">
        <f t="shared" si="1"/>
        <v>3.1700940594059408</v>
      </c>
      <c r="W6" s="11">
        <f t="shared" si="14"/>
        <v>16.757060009395992</v>
      </c>
      <c r="X6" s="2">
        <f t="shared" si="15"/>
        <v>4.7860431145430273E-15</v>
      </c>
      <c r="Y6" s="2">
        <f t="shared" si="16"/>
        <v>2882155163.5778112</v>
      </c>
    </row>
    <row r="7" spans="1:25" x14ac:dyDescent="0.3">
      <c r="A7" s="26">
        <v>15</v>
      </c>
      <c r="B7" s="26">
        <f t="shared" si="2"/>
        <v>0.25</v>
      </c>
      <c r="C7" s="26">
        <v>20</v>
      </c>
      <c r="D7" s="26">
        <f t="shared" si="0"/>
        <v>29.146000000000001</v>
      </c>
      <c r="E7" s="26">
        <f t="shared" si="3"/>
        <v>4.8576666666666667E-7</v>
      </c>
      <c r="F7" s="26">
        <v>21.1</v>
      </c>
      <c r="G7" s="26">
        <f t="shared" si="4"/>
        <v>294.10000000000002</v>
      </c>
      <c r="H7" s="26">
        <v>101.3</v>
      </c>
      <c r="I7" s="26">
        <f t="shared" si="5"/>
        <v>101300</v>
      </c>
      <c r="J7" s="26">
        <f t="shared" si="6"/>
        <v>2.0124824921938581E-5</v>
      </c>
      <c r="K7" s="28">
        <v>30.193069306930695</v>
      </c>
      <c r="L7" s="27">
        <f t="shared" si="7"/>
        <v>3.0193069306930695E-5</v>
      </c>
      <c r="M7" s="29">
        <f t="shared" si="8"/>
        <v>4.7762865441819992E-3</v>
      </c>
      <c r="N7" s="27">
        <f t="shared" si="9"/>
        <v>1.2721812814980559E-7</v>
      </c>
      <c r="O7" s="21">
        <f t="shared" si="10"/>
        <v>2.032E-3</v>
      </c>
      <c r="P7" s="21">
        <v>1.0571269522665299E-10</v>
      </c>
      <c r="Q7" s="2">
        <v>0.32</v>
      </c>
      <c r="R7" s="27">
        <f t="shared" si="11"/>
        <v>132000</v>
      </c>
      <c r="S7" s="2">
        <f t="shared" si="12"/>
        <v>5.2493374855265302E-3</v>
      </c>
      <c r="T7" s="11">
        <v>0.11</v>
      </c>
      <c r="U7" s="30">
        <f t="shared" si="13"/>
        <v>111000.00000000001</v>
      </c>
      <c r="V7" s="30">
        <f t="shared" si="1"/>
        <v>3.3514306930693074</v>
      </c>
      <c r="W7" s="11">
        <f t="shared" si="14"/>
        <v>18.284747529249344</v>
      </c>
      <c r="X7" s="2">
        <f t="shared" si="15"/>
        <v>5.0598742989346835E-15</v>
      </c>
      <c r="Y7" s="2">
        <f t="shared" si="16"/>
        <v>3047056302.8184667</v>
      </c>
    </row>
    <row r="8" spans="1:25" x14ac:dyDescent="0.3">
      <c r="A8" s="26">
        <v>18</v>
      </c>
      <c r="B8" s="26">
        <f t="shared" si="2"/>
        <v>0.3</v>
      </c>
      <c r="C8" s="26">
        <v>20</v>
      </c>
      <c r="D8" s="26">
        <f t="shared" si="0"/>
        <v>29.146000000000001</v>
      </c>
      <c r="E8" s="26">
        <f t="shared" si="3"/>
        <v>4.8576666666666667E-7</v>
      </c>
      <c r="F8" s="26">
        <v>21.1</v>
      </c>
      <c r="G8" s="26">
        <f t="shared" si="4"/>
        <v>294.10000000000002</v>
      </c>
      <c r="H8" s="26">
        <v>101.3</v>
      </c>
      <c r="I8" s="26">
        <f t="shared" si="5"/>
        <v>101300</v>
      </c>
      <c r="J8" s="26">
        <f t="shared" si="6"/>
        <v>2.0124824921938581E-5</v>
      </c>
      <c r="K8" s="28">
        <v>25.044554455445546</v>
      </c>
      <c r="L8" s="27">
        <f t="shared" si="7"/>
        <v>2.5044554455445545E-5</v>
      </c>
      <c r="M8" s="29">
        <f t="shared" si="8"/>
        <v>4.7762865441819992E-3</v>
      </c>
      <c r="N8" s="27">
        <f t="shared" si="9"/>
        <v>1.0552492380879923E-7</v>
      </c>
      <c r="O8" s="21">
        <f t="shared" si="10"/>
        <v>2.032E-3</v>
      </c>
      <c r="P8" s="21">
        <v>1.0571269522665299E-10</v>
      </c>
      <c r="Q8" s="2">
        <v>0.32</v>
      </c>
      <c r="R8" s="27">
        <f t="shared" si="11"/>
        <v>132000</v>
      </c>
      <c r="S8" s="2">
        <f t="shared" si="12"/>
        <v>5.2493374855265302E-3</v>
      </c>
      <c r="T8" s="11">
        <v>0.11</v>
      </c>
      <c r="U8" s="30">
        <f t="shared" si="13"/>
        <v>111000.00000000001</v>
      </c>
      <c r="V8" s="30">
        <f t="shared" si="1"/>
        <v>2.7799455445544559</v>
      </c>
      <c r="W8" s="11">
        <f t="shared" si="14"/>
        <v>13.658254253899262</v>
      </c>
      <c r="X8" s="2">
        <f t="shared" si="15"/>
        <v>4.196918642339097E-15</v>
      </c>
      <c r="Y8" s="2">
        <f t="shared" si="16"/>
        <v>2527384406.4166045</v>
      </c>
    </row>
    <row r="9" spans="1:25" x14ac:dyDescent="0.3">
      <c r="A9" s="26">
        <v>21</v>
      </c>
      <c r="B9" s="26">
        <f t="shared" si="2"/>
        <v>0.35</v>
      </c>
      <c r="C9" s="26">
        <v>20</v>
      </c>
      <c r="D9" s="26">
        <f t="shared" si="0"/>
        <v>29.146000000000001</v>
      </c>
      <c r="E9" s="26">
        <f t="shared" si="3"/>
        <v>4.8576666666666667E-7</v>
      </c>
      <c r="F9" s="26">
        <v>21.1</v>
      </c>
      <c r="G9" s="26">
        <f t="shared" si="4"/>
        <v>294.10000000000002</v>
      </c>
      <c r="H9" s="26">
        <v>101.3</v>
      </c>
      <c r="I9" s="26">
        <f t="shared" si="5"/>
        <v>101300</v>
      </c>
      <c r="J9" s="26">
        <f t="shared" si="6"/>
        <v>2.0124824921938581E-5</v>
      </c>
      <c r="K9" s="28">
        <v>27.940594059405942</v>
      </c>
      <c r="L9" s="27">
        <f t="shared" si="7"/>
        <v>2.7940594059405943E-5</v>
      </c>
      <c r="M9" s="29">
        <f t="shared" si="8"/>
        <v>4.7762865441819992E-3</v>
      </c>
      <c r="N9" s="27">
        <f t="shared" si="9"/>
        <v>1.1772735125061533E-7</v>
      </c>
      <c r="O9" s="21">
        <f t="shared" si="10"/>
        <v>2.032E-3</v>
      </c>
      <c r="P9" s="21">
        <v>1.0571269522665299E-10</v>
      </c>
      <c r="Q9" s="2">
        <v>0.32</v>
      </c>
      <c r="R9" s="27">
        <f t="shared" si="11"/>
        <v>132000</v>
      </c>
      <c r="S9" s="2">
        <f t="shared" si="12"/>
        <v>5.2493374855265302E-3</v>
      </c>
      <c r="T9" s="11">
        <v>0.11</v>
      </c>
      <c r="U9" s="30">
        <f t="shared" si="13"/>
        <v>111000.00000000001</v>
      </c>
      <c r="V9" s="30">
        <f t="shared" si="1"/>
        <v>3.1014059405940602</v>
      </c>
      <c r="W9" s="11">
        <f t="shared" si="14"/>
        <v>16.192781609432245</v>
      </c>
      <c r="X9" s="2">
        <f t="shared" si="15"/>
        <v>4.6823213469590916E-15</v>
      </c>
      <c r="Y9" s="2">
        <f t="shared" si="16"/>
        <v>2819693915.1387649</v>
      </c>
    </row>
    <row r="10" spans="1:25" x14ac:dyDescent="0.3">
      <c r="A10" s="26">
        <v>24</v>
      </c>
      <c r="B10" s="26">
        <f t="shared" si="2"/>
        <v>0.4</v>
      </c>
      <c r="C10" s="26">
        <v>20</v>
      </c>
      <c r="D10" s="26">
        <f t="shared" si="0"/>
        <v>29.146000000000001</v>
      </c>
      <c r="E10" s="26">
        <f t="shared" si="3"/>
        <v>4.8576666666666667E-7</v>
      </c>
      <c r="F10" s="26">
        <v>21.1</v>
      </c>
      <c r="G10" s="26">
        <f t="shared" si="4"/>
        <v>294.10000000000002</v>
      </c>
      <c r="H10" s="26">
        <v>101.3</v>
      </c>
      <c r="I10" s="26">
        <f t="shared" si="5"/>
        <v>101300</v>
      </c>
      <c r="J10" s="26">
        <f t="shared" si="6"/>
        <v>2.0124824921938581E-5</v>
      </c>
      <c r="K10" s="28">
        <v>34.797029702970299</v>
      </c>
      <c r="L10" s="27">
        <f t="shared" si="7"/>
        <v>3.47970297029703E-5</v>
      </c>
      <c r="M10" s="29">
        <f t="shared" si="8"/>
        <v>4.7762865441819992E-3</v>
      </c>
      <c r="N10" s="27">
        <f t="shared" si="9"/>
        <v>1.4661685895474397E-7</v>
      </c>
      <c r="O10" s="21">
        <f t="shared" si="10"/>
        <v>2.032E-3</v>
      </c>
      <c r="P10" s="21">
        <v>1.0571269522665299E-10</v>
      </c>
      <c r="Q10" s="2">
        <v>0.32</v>
      </c>
      <c r="R10" s="27">
        <f t="shared" si="11"/>
        <v>132000</v>
      </c>
      <c r="S10" s="2">
        <f t="shared" si="12"/>
        <v>5.2493374855265302E-3</v>
      </c>
      <c r="T10" s="11">
        <v>0.11</v>
      </c>
      <c r="U10" s="30">
        <f t="shared" si="13"/>
        <v>111000.00000000001</v>
      </c>
      <c r="V10" s="30">
        <f t="shared" si="1"/>
        <v>3.862470297029704</v>
      </c>
      <c r="W10" s="11">
        <f t="shared" si="14"/>
        <v>22.882570944859733</v>
      </c>
      <c r="X10" s="2">
        <f t="shared" si="15"/>
        <v>5.8316273965827273E-15</v>
      </c>
      <c r="Y10" s="2">
        <f t="shared" si="16"/>
        <v>3511806018.2221184</v>
      </c>
    </row>
    <row r="11" spans="1:25" x14ac:dyDescent="0.3">
      <c r="A11" s="26">
        <v>27</v>
      </c>
      <c r="B11" s="26">
        <f t="shared" si="2"/>
        <v>0.45</v>
      </c>
      <c r="C11" s="26">
        <v>20</v>
      </c>
      <c r="D11" s="26">
        <f t="shared" si="0"/>
        <v>29.146000000000001</v>
      </c>
      <c r="E11" s="26">
        <f t="shared" si="3"/>
        <v>4.8576666666666667E-7</v>
      </c>
      <c r="F11" s="26">
        <v>21.1</v>
      </c>
      <c r="G11" s="26">
        <f t="shared" si="4"/>
        <v>294.10000000000002</v>
      </c>
      <c r="H11" s="26">
        <v>101.3</v>
      </c>
      <c r="I11" s="26">
        <f t="shared" si="5"/>
        <v>101300</v>
      </c>
      <c r="J11" s="26">
        <f t="shared" si="6"/>
        <v>2.0124824921938581E-5</v>
      </c>
      <c r="K11" s="28">
        <v>49.178217821782184</v>
      </c>
      <c r="L11" s="27">
        <f t="shared" si="7"/>
        <v>4.9178217821782186E-5</v>
      </c>
      <c r="M11" s="29">
        <f t="shared" si="8"/>
        <v>4.7762865441819992E-3</v>
      </c>
      <c r="N11" s="27">
        <f t="shared" si="9"/>
        <v>2.0721181915726662E-7</v>
      </c>
      <c r="O11" s="21">
        <f t="shared" si="10"/>
        <v>2.032E-3</v>
      </c>
      <c r="P11" s="21">
        <v>1.0571269522665299E-10</v>
      </c>
      <c r="Q11" s="2">
        <v>0.32</v>
      </c>
      <c r="R11" s="27">
        <f t="shared" si="11"/>
        <v>132000</v>
      </c>
      <c r="S11" s="2">
        <f t="shared" si="12"/>
        <v>5.2493374855265302E-3</v>
      </c>
      <c r="T11" s="11">
        <v>0.11</v>
      </c>
      <c r="U11" s="30">
        <f t="shared" si="13"/>
        <v>111000.00000000001</v>
      </c>
      <c r="V11" s="30">
        <f t="shared" si="1"/>
        <v>5.458782178217823</v>
      </c>
      <c r="W11" s="11">
        <f t="shared" si="14"/>
        <v>39.934952771868986</v>
      </c>
      <c r="X11" s="2">
        <f t="shared" si="15"/>
        <v>8.2428329309862837E-15</v>
      </c>
      <c r="Y11" s="2">
        <f t="shared" si="16"/>
        <v>4963833991.0399399</v>
      </c>
    </row>
    <row r="12" spans="1:25" x14ac:dyDescent="0.3">
      <c r="A12" s="26">
        <v>30</v>
      </c>
      <c r="B12" s="26">
        <f t="shared" si="2"/>
        <v>0.5</v>
      </c>
      <c r="C12" s="26">
        <v>20</v>
      </c>
      <c r="D12" s="26">
        <f t="shared" si="0"/>
        <v>29.146000000000001</v>
      </c>
      <c r="E12" s="26">
        <f t="shared" si="3"/>
        <v>4.8576666666666667E-7</v>
      </c>
      <c r="F12" s="26">
        <v>21.1</v>
      </c>
      <c r="G12" s="26">
        <f t="shared" si="4"/>
        <v>294.10000000000002</v>
      </c>
      <c r="H12" s="26">
        <v>101.3</v>
      </c>
      <c r="I12" s="26">
        <f t="shared" si="5"/>
        <v>101300</v>
      </c>
      <c r="J12" s="26">
        <f t="shared" si="6"/>
        <v>2.0124824921938581E-5</v>
      </c>
      <c r="K12" s="28">
        <v>71.579207920792086</v>
      </c>
      <c r="L12" s="27">
        <f t="shared" si="7"/>
        <v>7.1579207920792088E-5</v>
      </c>
      <c r="M12" s="29">
        <f t="shared" si="8"/>
        <v>4.7762865441819992E-3</v>
      </c>
      <c r="N12" s="27">
        <f t="shared" si="9"/>
        <v>3.0159811689097219E-7</v>
      </c>
      <c r="O12" s="21">
        <f t="shared" si="10"/>
        <v>2.032E-3</v>
      </c>
      <c r="P12" s="21">
        <v>1.0571269522665299E-10</v>
      </c>
      <c r="Q12" s="2">
        <v>0.32</v>
      </c>
      <c r="R12" s="27">
        <f t="shared" si="11"/>
        <v>132000</v>
      </c>
      <c r="S12" s="2">
        <f t="shared" si="12"/>
        <v>5.2493374855265302E-3</v>
      </c>
      <c r="T12" s="11">
        <v>0.11</v>
      </c>
      <c r="U12" s="30">
        <f t="shared" si="13"/>
        <v>111000.00000000001</v>
      </c>
      <c r="V12" s="30">
        <f t="shared" si="1"/>
        <v>7.9452920792079231</v>
      </c>
      <c r="W12" s="11">
        <f t="shared" si="14"/>
        <v>74.235999747113866</v>
      </c>
      <c r="X12" s="2">
        <f t="shared" si="15"/>
        <v>1.2000614986447664E-14</v>
      </c>
      <c r="Y12" s="2">
        <f t="shared" si="16"/>
        <v>7226770344.8387833</v>
      </c>
    </row>
    <row r="13" spans="1:25" x14ac:dyDescent="0.3">
      <c r="A13" s="26">
        <v>33</v>
      </c>
      <c r="B13" s="26">
        <f t="shared" si="2"/>
        <v>0.55000000000000004</v>
      </c>
      <c r="C13" s="26">
        <v>20</v>
      </c>
      <c r="D13" s="26">
        <f t="shared" si="0"/>
        <v>29.146000000000001</v>
      </c>
      <c r="E13" s="26">
        <f t="shared" si="3"/>
        <v>4.8576666666666667E-7</v>
      </c>
      <c r="F13" s="26">
        <v>21.1</v>
      </c>
      <c r="G13" s="26">
        <f t="shared" si="4"/>
        <v>294.10000000000002</v>
      </c>
      <c r="H13" s="26">
        <v>101.3</v>
      </c>
      <c r="I13" s="26">
        <f t="shared" si="5"/>
        <v>101300</v>
      </c>
      <c r="J13" s="26">
        <f t="shared" si="6"/>
        <v>2.0124824921938581E-5</v>
      </c>
      <c r="K13" s="28">
        <v>100.31683168316833</v>
      </c>
      <c r="L13" s="27">
        <f t="shared" si="7"/>
        <v>1.0031683168316833E-4</v>
      </c>
      <c r="M13" s="29">
        <f t="shared" si="8"/>
        <v>4.7762865441819992E-3</v>
      </c>
      <c r="N13" s="27">
        <f t="shared" si="9"/>
        <v>4.226837430443779E-7</v>
      </c>
      <c r="O13" s="21">
        <f t="shared" si="10"/>
        <v>2.032E-3</v>
      </c>
      <c r="P13" s="21">
        <v>1.0571269522665299E-10</v>
      </c>
      <c r="Q13" s="2">
        <v>0.32</v>
      </c>
      <c r="R13" s="27">
        <f t="shared" si="11"/>
        <v>132000</v>
      </c>
      <c r="S13" s="2">
        <f t="shared" si="12"/>
        <v>5.2493374855265302E-3</v>
      </c>
      <c r="T13" s="11">
        <v>0.11</v>
      </c>
      <c r="U13" s="30">
        <f t="shared" si="13"/>
        <v>111000.00000000001</v>
      </c>
      <c r="V13" s="30">
        <f t="shared" si="1"/>
        <v>11.135168316831686</v>
      </c>
      <c r="W13" s="11">
        <f t="shared" si="14"/>
        <v>131.37123570703292</v>
      </c>
      <c r="X13" s="2">
        <f t="shared" si="15"/>
        <v>1.6825909525847139E-14</v>
      </c>
      <c r="Y13" s="2">
        <f t="shared" si="16"/>
        <v>10132562716.465147</v>
      </c>
    </row>
    <row r="14" spans="1:25" x14ac:dyDescent="0.3">
      <c r="A14" s="26">
        <v>36</v>
      </c>
      <c r="B14" s="26">
        <f t="shared" si="2"/>
        <v>0.6</v>
      </c>
      <c r="C14" s="26">
        <v>20</v>
      </c>
      <c r="D14" s="26">
        <f t="shared" si="0"/>
        <v>29.146000000000001</v>
      </c>
      <c r="E14" s="26">
        <f t="shared" si="3"/>
        <v>4.8576666666666667E-7</v>
      </c>
      <c r="F14" s="26">
        <v>21.1</v>
      </c>
      <c r="G14" s="26">
        <f t="shared" si="4"/>
        <v>294.10000000000002</v>
      </c>
      <c r="H14" s="26">
        <v>101.3</v>
      </c>
      <c r="I14" s="26">
        <f t="shared" si="5"/>
        <v>101300</v>
      </c>
      <c r="J14" s="26">
        <f t="shared" si="6"/>
        <v>2.0124824921938581E-5</v>
      </c>
      <c r="K14" s="28">
        <v>128.36138613861388</v>
      </c>
      <c r="L14" s="27">
        <f t="shared" si="7"/>
        <v>1.2836138613861388E-4</v>
      </c>
      <c r="M14" s="29">
        <f t="shared" si="8"/>
        <v>4.7762865441819992E-3</v>
      </c>
      <c r="N14" s="27">
        <f t="shared" si="9"/>
        <v>5.4084913015187893E-7</v>
      </c>
      <c r="O14" s="21">
        <f t="shared" si="10"/>
        <v>2.032E-3</v>
      </c>
      <c r="P14" s="21">
        <v>1.0571269522665299E-10</v>
      </c>
      <c r="Q14" s="2">
        <v>0.32</v>
      </c>
      <c r="R14" s="27">
        <f t="shared" si="11"/>
        <v>132000</v>
      </c>
      <c r="S14" s="2">
        <f t="shared" si="12"/>
        <v>5.2493374855265302E-3</v>
      </c>
      <c r="T14" s="11">
        <v>0.11</v>
      </c>
      <c r="U14" s="30">
        <f t="shared" si="13"/>
        <v>111000.00000000001</v>
      </c>
      <c r="V14" s="30">
        <f t="shared" si="1"/>
        <v>14.248113861386143</v>
      </c>
      <c r="W14" s="11">
        <f t="shared" si="14"/>
        <v>200.81217150114512</v>
      </c>
      <c r="X14" s="2">
        <f t="shared" si="15"/>
        <v>2.1541100971084877E-14</v>
      </c>
      <c r="Y14" s="2">
        <f t="shared" si="16"/>
        <v>12972051004.787313</v>
      </c>
    </row>
    <row r="15" spans="1:25" x14ac:dyDescent="0.3">
      <c r="A15" s="26">
        <v>39</v>
      </c>
      <c r="B15" s="26">
        <f t="shared" si="2"/>
        <v>0.65</v>
      </c>
      <c r="C15" s="26">
        <v>20</v>
      </c>
      <c r="D15" s="26">
        <f t="shared" si="0"/>
        <v>29.146000000000001</v>
      </c>
      <c r="E15" s="26">
        <f t="shared" si="3"/>
        <v>4.8576666666666667E-7</v>
      </c>
      <c r="F15" s="26">
        <v>21.1</v>
      </c>
      <c r="G15" s="26">
        <f t="shared" si="4"/>
        <v>294.10000000000002</v>
      </c>
      <c r="H15" s="26">
        <v>101.3</v>
      </c>
      <c r="I15" s="26">
        <f t="shared" si="5"/>
        <v>101300</v>
      </c>
      <c r="J15" s="26">
        <f t="shared" si="6"/>
        <v>2.0124824921938581E-5</v>
      </c>
      <c r="K15" s="28">
        <v>173.23762376237624</v>
      </c>
      <c r="L15" s="27">
        <f t="shared" si="7"/>
        <v>1.7323762376237625E-4</v>
      </c>
      <c r="M15" s="29">
        <f t="shared" si="8"/>
        <v>4.7762865441819992E-3</v>
      </c>
      <c r="N15" s="27">
        <f t="shared" si="9"/>
        <v>7.2993460837420832E-7</v>
      </c>
      <c r="O15" s="21">
        <f t="shared" si="10"/>
        <v>2.032E-3</v>
      </c>
      <c r="P15" s="21">
        <v>1.0571269522665299E-10</v>
      </c>
      <c r="Q15" s="2">
        <v>0.32</v>
      </c>
      <c r="R15" s="27">
        <f t="shared" si="11"/>
        <v>132000</v>
      </c>
      <c r="S15" s="2">
        <f t="shared" si="12"/>
        <v>5.2493374855265302E-3</v>
      </c>
      <c r="T15" s="11">
        <v>0.11</v>
      </c>
      <c r="U15" s="30">
        <f t="shared" si="13"/>
        <v>111000.00000000001</v>
      </c>
      <c r="V15" s="30">
        <f t="shared" si="1"/>
        <v>19.229376237623764</v>
      </c>
      <c r="W15" s="11">
        <f t="shared" si="14"/>
        <v>339.14423888145734</v>
      </c>
      <c r="X15" s="2">
        <f t="shared" si="15"/>
        <v>2.9102599095010669E-14</v>
      </c>
      <c r="Y15" s="2">
        <f t="shared" si="16"/>
        <v>17525585175.015427</v>
      </c>
    </row>
    <row r="16" spans="1:25" x14ac:dyDescent="0.3">
      <c r="A16" s="26">
        <v>42</v>
      </c>
      <c r="B16" s="26">
        <f t="shared" si="2"/>
        <v>0.7</v>
      </c>
      <c r="C16" s="26">
        <v>20</v>
      </c>
      <c r="D16" s="26">
        <f t="shared" si="0"/>
        <v>29.146000000000001</v>
      </c>
      <c r="E16" s="26">
        <f t="shared" si="3"/>
        <v>4.8576666666666667E-7</v>
      </c>
      <c r="F16" s="26">
        <v>21.1</v>
      </c>
      <c r="G16" s="26">
        <f t="shared" si="4"/>
        <v>294.10000000000002</v>
      </c>
      <c r="H16" s="26">
        <v>101.3</v>
      </c>
      <c r="I16" s="26">
        <f t="shared" si="5"/>
        <v>101300</v>
      </c>
      <c r="J16" s="26">
        <f t="shared" si="6"/>
        <v>2.0124824921938581E-5</v>
      </c>
      <c r="K16" s="28">
        <v>193.53465346534657</v>
      </c>
      <c r="L16" s="27">
        <f t="shared" si="7"/>
        <v>1.9353465346534657E-4</v>
      </c>
      <c r="M16" s="29">
        <f t="shared" si="8"/>
        <v>4.7762865441819992E-3</v>
      </c>
      <c r="N16" s="27">
        <f t="shared" si="9"/>
        <v>8.1545589471856055E-7</v>
      </c>
      <c r="O16" s="21">
        <f t="shared" si="10"/>
        <v>2.032E-3</v>
      </c>
      <c r="P16" s="21">
        <v>1.0571269522665299E-10</v>
      </c>
      <c r="Q16" s="2">
        <v>0.32</v>
      </c>
      <c r="R16" s="27">
        <f t="shared" si="11"/>
        <v>132000</v>
      </c>
      <c r="S16" s="2">
        <f t="shared" si="12"/>
        <v>5.2493374855265302E-3</v>
      </c>
      <c r="T16" s="11">
        <v>0.11</v>
      </c>
      <c r="U16" s="30">
        <f t="shared" si="13"/>
        <v>111000.00000000001</v>
      </c>
      <c r="V16" s="30">
        <f t="shared" si="1"/>
        <v>21.482346534653473</v>
      </c>
      <c r="W16" s="11">
        <f t="shared" si="14"/>
        <v>412.4768349376015</v>
      </c>
      <c r="X16" s="2">
        <f t="shared" si="15"/>
        <v>3.2530464081842772E-14</v>
      </c>
      <c r="Y16" s="2">
        <f t="shared" si="16"/>
        <v>19589845470.08572</v>
      </c>
    </row>
    <row r="17" spans="1:76" s="4" customFormat="1" x14ac:dyDescent="0.3">
      <c r="A17" s="26">
        <v>45</v>
      </c>
      <c r="B17" s="26">
        <f t="shared" si="2"/>
        <v>0.75</v>
      </c>
      <c r="C17" s="26">
        <v>20</v>
      </c>
      <c r="D17" s="26">
        <f t="shared" si="0"/>
        <v>29.146000000000001</v>
      </c>
      <c r="E17" s="26">
        <f t="shared" si="3"/>
        <v>4.8576666666666667E-7</v>
      </c>
      <c r="F17" s="26">
        <v>21.1</v>
      </c>
      <c r="G17" s="26">
        <f t="shared" si="4"/>
        <v>294.10000000000002</v>
      </c>
      <c r="H17" s="26">
        <v>101.3</v>
      </c>
      <c r="I17" s="26">
        <f t="shared" si="5"/>
        <v>101300</v>
      </c>
      <c r="J17" s="26">
        <f t="shared" si="6"/>
        <v>2.0124824921938581E-5</v>
      </c>
      <c r="K17" s="28">
        <v>225.11881188118815</v>
      </c>
      <c r="L17" s="27">
        <f t="shared" si="7"/>
        <v>2.2511881188118816E-4</v>
      </c>
      <c r="M17" s="29">
        <f t="shared" si="8"/>
        <v>4.7762865441819992E-3</v>
      </c>
      <c r="N17" s="27">
        <f t="shared" si="9"/>
        <v>9.4853535981050343E-7</v>
      </c>
      <c r="O17" s="21">
        <f t="shared" si="10"/>
        <v>2.032E-3</v>
      </c>
      <c r="P17" s="21">
        <v>1.0571269522665299E-10</v>
      </c>
      <c r="Q17" s="2">
        <v>0.32</v>
      </c>
      <c r="R17" s="27">
        <f t="shared" si="11"/>
        <v>132000</v>
      </c>
      <c r="S17" s="2">
        <f t="shared" si="12"/>
        <v>5.2493374855265302E-3</v>
      </c>
      <c r="T17" s="11">
        <v>0.11</v>
      </c>
      <c r="U17" s="30">
        <f t="shared" si="13"/>
        <v>111000.00000000001</v>
      </c>
      <c r="V17" s="30">
        <f t="shared" si="1"/>
        <v>24.988188118811888</v>
      </c>
      <c r="W17" s="11">
        <f t="shared" si="14"/>
        <v>539.70169860564658</v>
      </c>
      <c r="X17" s="2">
        <f t="shared" si="15"/>
        <v>3.7875938857107078E-14</v>
      </c>
      <c r="Y17" s="2">
        <f t="shared" si="16"/>
        <v>22808890379.749882</v>
      </c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</row>
    <row r="18" spans="1:76" s="4" customFormat="1" x14ac:dyDescent="0.3">
      <c r="A18" s="26">
        <v>48</v>
      </c>
      <c r="B18" s="26">
        <f t="shared" si="2"/>
        <v>0.8</v>
      </c>
      <c r="C18" s="26">
        <v>20</v>
      </c>
      <c r="D18" s="26">
        <f t="shared" si="0"/>
        <v>29.146000000000001</v>
      </c>
      <c r="E18" s="26">
        <f t="shared" si="3"/>
        <v>4.8576666666666667E-7</v>
      </c>
      <c r="F18" s="26">
        <v>21.1</v>
      </c>
      <c r="G18" s="26">
        <f t="shared" si="4"/>
        <v>294.10000000000002</v>
      </c>
      <c r="H18" s="26">
        <v>101.3</v>
      </c>
      <c r="I18" s="26">
        <f t="shared" si="5"/>
        <v>101300</v>
      </c>
      <c r="J18" s="26">
        <f t="shared" si="6"/>
        <v>2.0124824921938581E-5</v>
      </c>
      <c r="K18" s="28">
        <v>248.95544554455446</v>
      </c>
      <c r="L18" s="27">
        <f t="shared" si="7"/>
        <v>2.4895544554455446E-4</v>
      </c>
      <c r="M18" s="29">
        <f t="shared" si="8"/>
        <v>4.7762865441819992E-3</v>
      </c>
      <c r="N18" s="27">
        <f t="shared" si="9"/>
        <v>1.0489707241392972E-6</v>
      </c>
      <c r="O18" s="21">
        <f t="shared" si="10"/>
        <v>2.032E-3</v>
      </c>
      <c r="P18" s="21">
        <v>1.0571269522665299E-10</v>
      </c>
      <c r="Q18" s="2">
        <v>0.32</v>
      </c>
      <c r="R18" s="27">
        <f t="shared" si="11"/>
        <v>132000</v>
      </c>
      <c r="S18" s="2">
        <f t="shared" si="12"/>
        <v>5.2493374855265302E-3</v>
      </c>
      <c r="T18" s="11">
        <v>0.11</v>
      </c>
      <c r="U18" s="30">
        <f t="shared" si="13"/>
        <v>111000.00000000001</v>
      </c>
      <c r="V18" s="30">
        <f t="shared" si="1"/>
        <v>27.634054455445551</v>
      </c>
      <c r="W18" s="11">
        <f t="shared" si="14"/>
        <v>646.17802704454482</v>
      </c>
      <c r="X18" s="2">
        <f t="shared" si="15"/>
        <v>4.1920374000065559E-14</v>
      </c>
      <c r="Y18" s="2">
        <f t="shared" si="16"/>
        <v>25244449222.839481</v>
      </c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</row>
    <row r="19" spans="1:76" s="4" customFormat="1" x14ac:dyDescent="0.3">
      <c r="A19" s="26">
        <v>51</v>
      </c>
      <c r="B19" s="26">
        <f t="shared" si="2"/>
        <v>0.85</v>
      </c>
      <c r="C19" s="26">
        <v>20</v>
      </c>
      <c r="D19" s="26">
        <f t="shared" si="0"/>
        <v>29.146000000000001</v>
      </c>
      <c r="E19" s="26">
        <f t="shared" si="3"/>
        <v>4.8576666666666667E-7</v>
      </c>
      <c r="F19" s="26">
        <v>21.1</v>
      </c>
      <c r="G19" s="26">
        <f t="shared" si="4"/>
        <v>294.10000000000002</v>
      </c>
      <c r="H19" s="26">
        <v>101.3</v>
      </c>
      <c r="I19" s="26">
        <f t="shared" si="5"/>
        <v>101300</v>
      </c>
      <c r="J19" s="26">
        <f t="shared" si="6"/>
        <v>2.0124824921938581E-5</v>
      </c>
      <c r="K19" s="28">
        <v>276.20792079207922</v>
      </c>
      <c r="L19" s="27">
        <f t="shared" si="7"/>
        <v>2.7620792079207924E-4</v>
      </c>
      <c r="M19" s="29">
        <f t="shared" si="8"/>
        <v>4.7762865441819992E-3</v>
      </c>
      <c r="N19" s="27">
        <f t="shared" si="9"/>
        <v>1.1637986951943358E-6</v>
      </c>
      <c r="O19" s="21">
        <f t="shared" si="10"/>
        <v>2.032E-3</v>
      </c>
      <c r="P19" s="21">
        <v>1.0571269522665299E-10</v>
      </c>
      <c r="Q19" s="2">
        <v>0.32</v>
      </c>
      <c r="R19" s="27">
        <f t="shared" si="11"/>
        <v>132000</v>
      </c>
      <c r="S19" s="2">
        <f t="shared" si="12"/>
        <v>5.2493374855265302E-3</v>
      </c>
      <c r="T19" s="11">
        <v>0.11</v>
      </c>
      <c r="U19" s="30">
        <f t="shared" si="13"/>
        <v>111000.00000000001</v>
      </c>
      <c r="V19" s="30">
        <f t="shared" si="1"/>
        <v>30.659079207920801</v>
      </c>
      <c r="W19" s="11">
        <f t="shared" si="14"/>
        <v>778.82849272847795</v>
      </c>
      <c r="X19" s="2">
        <f t="shared" si="15"/>
        <v>4.6556299155978466E-14</v>
      </c>
      <c r="Y19" s="2">
        <f t="shared" si="16"/>
        <v>28036203351.730232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</row>
    <row r="20" spans="1:76" s="4" customFormat="1" x14ac:dyDescent="0.3">
      <c r="A20" s="26">
        <v>54</v>
      </c>
      <c r="B20" s="26">
        <f t="shared" si="2"/>
        <v>0.9</v>
      </c>
      <c r="C20" s="26">
        <v>20</v>
      </c>
      <c r="D20" s="26">
        <f t="shared" si="0"/>
        <v>29.146000000000001</v>
      </c>
      <c r="E20" s="26">
        <f t="shared" si="3"/>
        <v>4.8576666666666667E-7</v>
      </c>
      <c r="F20" s="26">
        <v>21.1</v>
      </c>
      <c r="G20" s="26">
        <f t="shared" si="4"/>
        <v>294.10000000000002</v>
      </c>
      <c r="H20" s="26">
        <v>101.3</v>
      </c>
      <c r="I20" s="26">
        <f t="shared" si="5"/>
        <v>101300</v>
      </c>
      <c r="J20" s="26">
        <f t="shared" si="6"/>
        <v>2.0124824921938581E-5</v>
      </c>
      <c r="K20" s="28">
        <v>293.33663366336634</v>
      </c>
      <c r="L20" s="27">
        <f t="shared" si="7"/>
        <v>2.9333663366336635E-4</v>
      </c>
      <c r="M20" s="29">
        <f t="shared" si="8"/>
        <v>4.7762865441819992E-3</v>
      </c>
      <c r="N20" s="27">
        <f t="shared" si="9"/>
        <v>1.2359703173288376E-6</v>
      </c>
      <c r="O20" s="21">
        <f t="shared" si="10"/>
        <v>2.032E-3</v>
      </c>
      <c r="P20" s="21">
        <v>1.0571269522665299E-10</v>
      </c>
      <c r="Q20" s="2">
        <v>0.32</v>
      </c>
      <c r="R20" s="27">
        <f t="shared" si="11"/>
        <v>132000</v>
      </c>
      <c r="S20" s="2">
        <f t="shared" si="12"/>
        <v>5.2493374855265302E-3</v>
      </c>
      <c r="T20" s="11">
        <v>0.11</v>
      </c>
      <c r="U20" s="30">
        <f t="shared" si="13"/>
        <v>111000.00000000001</v>
      </c>
      <c r="V20" s="30">
        <f t="shared" si="1"/>
        <v>32.56036633663367</v>
      </c>
      <c r="W20" s="11">
        <f t="shared" si="14"/>
        <v>868.12024591982822</v>
      </c>
      <c r="X20" s="2">
        <f t="shared" si="15"/>
        <v>4.9477101448707881E-14</v>
      </c>
      <c r="Y20" s="2">
        <f t="shared" si="16"/>
        <v>29795110492.411888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</row>
    <row r="21" spans="1:76" s="4" customFormat="1" x14ac:dyDescent="0.3">
      <c r="A21" s="26">
        <v>57</v>
      </c>
      <c r="B21" s="26">
        <f t="shared" si="2"/>
        <v>0.95</v>
      </c>
      <c r="C21" s="26">
        <v>20</v>
      </c>
      <c r="D21" s="26">
        <f t="shared" si="0"/>
        <v>29.146000000000001</v>
      </c>
      <c r="E21" s="26">
        <f t="shared" si="3"/>
        <v>4.8576666666666667E-7</v>
      </c>
      <c r="F21" s="26">
        <v>21.1</v>
      </c>
      <c r="G21" s="26">
        <f t="shared" si="4"/>
        <v>294.10000000000002</v>
      </c>
      <c r="H21" s="26">
        <v>101.3</v>
      </c>
      <c r="I21" s="26">
        <f t="shared" si="5"/>
        <v>101300</v>
      </c>
      <c r="J21" s="26">
        <f t="shared" si="6"/>
        <v>2.0124824921938581E-5</v>
      </c>
      <c r="K21" s="28">
        <v>306.95049504950498</v>
      </c>
      <c r="L21" s="27">
        <f t="shared" si="7"/>
        <v>3.0695049504950498E-4</v>
      </c>
      <c r="M21" s="29">
        <f t="shared" si="8"/>
        <v>4.7762865441819992E-3</v>
      </c>
      <c r="N21" s="27">
        <f t="shared" si="9"/>
        <v>1.2933321557305372E-6</v>
      </c>
      <c r="O21" s="21">
        <f t="shared" si="10"/>
        <v>2.032E-3</v>
      </c>
      <c r="P21" s="21">
        <v>1.0571269522665299E-10</v>
      </c>
      <c r="Q21" s="2">
        <v>0.32</v>
      </c>
      <c r="R21" s="27">
        <f t="shared" si="11"/>
        <v>132000</v>
      </c>
      <c r="S21" s="2">
        <f t="shared" si="12"/>
        <v>5.2493374855265302E-3</v>
      </c>
      <c r="T21" s="11">
        <v>0.11</v>
      </c>
      <c r="U21" s="30">
        <f t="shared" si="13"/>
        <v>111000.00000000001</v>
      </c>
      <c r="V21" s="30">
        <f t="shared" si="1"/>
        <v>34.071504950495054</v>
      </c>
      <c r="W21" s="11">
        <f t="shared" si="14"/>
        <v>942.3300922740774</v>
      </c>
      <c r="X21" s="2">
        <f t="shared" si="15"/>
        <v>5.1802668024642794E-14</v>
      </c>
      <c r="Y21" s="2">
        <f t="shared" si="16"/>
        <v>31195566684.439892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</row>
    <row r="22" spans="1:76" s="4" customFormat="1" x14ac:dyDescent="0.3">
      <c r="A22" s="26">
        <v>60</v>
      </c>
      <c r="B22" s="26">
        <f t="shared" si="2"/>
        <v>1</v>
      </c>
      <c r="C22" s="26">
        <v>20</v>
      </c>
      <c r="D22" s="26">
        <f t="shared" si="0"/>
        <v>29.146000000000001</v>
      </c>
      <c r="E22" s="26">
        <f t="shared" si="3"/>
        <v>4.8576666666666667E-7</v>
      </c>
      <c r="F22" s="26">
        <v>21.1</v>
      </c>
      <c r="G22" s="26">
        <f t="shared" si="4"/>
        <v>294.10000000000002</v>
      </c>
      <c r="H22" s="26">
        <v>101.3</v>
      </c>
      <c r="I22" s="26">
        <f t="shared" si="5"/>
        <v>101300</v>
      </c>
      <c r="J22" s="26">
        <f t="shared" si="6"/>
        <v>2.0124824921938581E-5</v>
      </c>
      <c r="K22" s="28">
        <v>332.34653465346537</v>
      </c>
      <c r="L22" s="27">
        <f t="shared" si="7"/>
        <v>3.3234653465346535E-4</v>
      </c>
      <c r="M22" s="29">
        <f t="shared" si="8"/>
        <v>4.7762865441819992E-3</v>
      </c>
      <c r="N22" s="27">
        <f t="shared" si="9"/>
        <v>1.4003380579126166E-6</v>
      </c>
      <c r="O22" s="21">
        <f t="shared" si="10"/>
        <v>2.032E-3</v>
      </c>
      <c r="P22" s="21">
        <v>1.0571269522665299E-10</v>
      </c>
      <c r="Q22" s="2">
        <v>0.32</v>
      </c>
      <c r="R22" s="27">
        <f t="shared" si="11"/>
        <v>132000</v>
      </c>
      <c r="S22" s="2">
        <f t="shared" si="12"/>
        <v>5.2493374855265302E-3</v>
      </c>
      <c r="T22" s="11">
        <v>0.11</v>
      </c>
      <c r="U22" s="30">
        <f t="shared" si="13"/>
        <v>111000.00000000001</v>
      </c>
      <c r="V22" s="30">
        <f t="shared" si="1"/>
        <v>36.890465346534661</v>
      </c>
      <c r="W22" s="11">
        <f t="shared" si="14"/>
        <v>1088.4011606150145</v>
      </c>
      <c r="X22" s="2">
        <f t="shared" si="15"/>
        <v>5.6151228195057413E-14</v>
      </c>
      <c r="Y22" s="2">
        <f t="shared" si="16"/>
        <v>33814269619.063576</v>
      </c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</row>
    <row r="23" spans="1:76" s="4" customFormat="1" x14ac:dyDescent="0.3">
      <c r="A23" s="26">
        <v>63</v>
      </c>
      <c r="B23" s="26">
        <f t="shared" si="2"/>
        <v>1.05</v>
      </c>
      <c r="C23" s="26">
        <v>20</v>
      </c>
      <c r="D23" s="26">
        <f t="shared" si="0"/>
        <v>29.146000000000001</v>
      </c>
      <c r="E23" s="26">
        <f t="shared" si="3"/>
        <v>4.8576666666666667E-7</v>
      </c>
      <c r="F23" s="26">
        <v>21.1</v>
      </c>
      <c r="G23" s="26">
        <f t="shared" si="4"/>
        <v>294.10000000000002</v>
      </c>
      <c r="H23" s="26">
        <v>101.3</v>
      </c>
      <c r="I23" s="26">
        <f t="shared" si="5"/>
        <v>101300</v>
      </c>
      <c r="J23" s="26">
        <f t="shared" si="6"/>
        <v>2.0124824921938581E-5</v>
      </c>
      <c r="K23" s="28">
        <v>331.92574257425747</v>
      </c>
      <c r="L23" s="27">
        <f t="shared" si="7"/>
        <v>3.3192574257425746E-4</v>
      </c>
      <c r="M23" s="29">
        <f t="shared" si="8"/>
        <v>4.7762865441819992E-3</v>
      </c>
      <c r="N23" s="27">
        <f t="shared" si="9"/>
        <v>1.398565055634746E-6</v>
      </c>
      <c r="O23" s="21">
        <f t="shared" si="10"/>
        <v>2.032E-3</v>
      </c>
      <c r="P23" s="21">
        <v>1.0571269522665299E-10</v>
      </c>
      <c r="Q23" s="2">
        <v>0.32</v>
      </c>
      <c r="R23" s="27">
        <f t="shared" si="11"/>
        <v>132000</v>
      </c>
      <c r="S23" s="2">
        <f t="shared" si="12"/>
        <v>5.2493374855265302E-3</v>
      </c>
      <c r="T23" s="11">
        <v>0.11</v>
      </c>
      <c r="U23" s="30">
        <f t="shared" si="13"/>
        <v>111000.00000000001</v>
      </c>
      <c r="V23" s="30">
        <f t="shared" si="1"/>
        <v>36.843757425742581</v>
      </c>
      <c r="W23" s="11">
        <f t="shared" si="14"/>
        <v>1085.9001203998921</v>
      </c>
      <c r="X23" s="2">
        <f t="shared" si="15"/>
        <v>5.6079062371760431E-14</v>
      </c>
      <c r="Y23" s="2">
        <f t="shared" si="16"/>
        <v>33770811360.274132</v>
      </c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</row>
    <row r="24" spans="1:76" s="4" customFormat="1" x14ac:dyDescent="0.3">
      <c r="A24" s="26">
        <v>66</v>
      </c>
      <c r="B24" s="26">
        <f t="shared" si="2"/>
        <v>1.1000000000000001</v>
      </c>
      <c r="C24" s="26">
        <v>20</v>
      </c>
      <c r="D24" s="26">
        <f t="shared" si="0"/>
        <v>29.146000000000001</v>
      </c>
      <c r="E24" s="26">
        <f t="shared" si="3"/>
        <v>4.8576666666666667E-7</v>
      </c>
      <c r="F24" s="26">
        <v>21.1</v>
      </c>
      <c r="G24" s="26">
        <f t="shared" si="4"/>
        <v>294.10000000000002</v>
      </c>
      <c r="H24" s="26">
        <v>101.3</v>
      </c>
      <c r="I24" s="26">
        <f t="shared" si="5"/>
        <v>101300</v>
      </c>
      <c r="J24" s="26">
        <f t="shared" si="6"/>
        <v>2.0124824921938581E-5</v>
      </c>
      <c r="K24" s="28">
        <v>367.34653465346537</v>
      </c>
      <c r="L24" s="27">
        <f t="shared" si="7"/>
        <v>3.6734653465346538E-4</v>
      </c>
      <c r="M24" s="29">
        <f t="shared" si="8"/>
        <v>4.7762865441819992E-3</v>
      </c>
      <c r="N24" s="27">
        <f t="shared" si="9"/>
        <v>1.5478101297308042E-6</v>
      </c>
      <c r="O24" s="21">
        <f t="shared" si="10"/>
        <v>2.032E-3</v>
      </c>
      <c r="P24" s="21">
        <v>1.0571269522665299E-10</v>
      </c>
      <c r="Q24" s="2">
        <v>0.32</v>
      </c>
      <c r="R24" s="27">
        <f t="shared" si="11"/>
        <v>132000</v>
      </c>
      <c r="S24" s="2">
        <f t="shared" si="12"/>
        <v>5.2493374855265302E-3</v>
      </c>
      <c r="T24" s="11">
        <v>0.11</v>
      </c>
      <c r="U24" s="30">
        <f t="shared" si="13"/>
        <v>111000.00000000001</v>
      </c>
      <c r="V24" s="30">
        <f t="shared" si="1"/>
        <v>40.775465346534666</v>
      </c>
      <c r="W24" s="11">
        <f t="shared" si="14"/>
        <v>1305.9142252178563</v>
      </c>
      <c r="X24" s="2">
        <f t="shared" si="15"/>
        <v>6.2167906728961813E-14</v>
      </c>
      <c r="Y24" s="2">
        <f t="shared" si="16"/>
        <v>37437513432.180809</v>
      </c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</row>
    <row r="25" spans="1:76" s="4" customFormat="1" x14ac:dyDescent="0.3">
      <c r="A25" s="26">
        <v>69</v>
      </c>
      <c r="B25" s="26">
        <f t="shared" si="2"/>
        <v>1.1499999999999999</v>
      </c>
      <c r="C25" s="26">
        <v>20</v>
      </c>
      <c r="D25" s="26">
        <f t="shared" si="0"/>
        <v>29.146000000000001</v>
      </c>
      <c r="E25" s="26">
        <f t="shared" si="3"/>
        <v>4.8576666666666667E-7</v>
      </c>
      <c r="F25" s="26">
        <v>21.1</v>
      </c>
      <c r="G25" s="26">
        <f t="shared" si="4"/>
        <v>294.10000000000002</v>
      </c>
      <c r="H25" s="26">
        <v>101.3</v>
      </c>
      <c r="I25" s="26">
        <f t="shared" si="5"/>
        <v>101300</v>
      </c>
      <c r="J25" s="26">
        <f t="shared" si="6"/>
        <v>2.0124824921938581E-5</v>
      </c>
      <c r="K25" s="28">
        <v>367.19801980198025</v>
      </c>
      <c r="L25" s="27">
        <f t="shared" si="7"/>
        <v>3.6719801980198026E-4</v>
      </c>
      <c r="M25" s="29">
        <f t="shared" si="8"/>
        <v>4.7762865441819992E-3</v>
      </c>
      <c r="N25" s="27">
        <f t="shared" si="9"/>
        <v>1.5471843642209676E-6</v>
      </c>
      <c r="O25" s="21">
        <f t="shared" si="10"/>
        <v>2.032E-3</v>
      </c>
      <c r="P25" s="21">
        <v>1.0571269522665299E-10</v>
      </c>
      <c r="Q25" s="2">
        <v>0.32</v>
      </c>
      <c r="R25" s="27">
        <f t="shared" si="11"/>
        <v>132000</v>
      </c>
      <c r="S25" s="2">
        <f t="shared" si="12"/>
        <v>5.2493374855265302E-3</v>
      </c>
      <c r="T25" s="11">
        <v>0.11</v>
      </c>
      <c r="U25" s="30">
        <f t="shared" si="13"/>
        <v>111000.00000000001</v>
      </c>
      <c r="V25" s="30">
        <f t="shared" si="1"/>
        <v>40.758980198019813</v>
      </c>
      <c r="W25" s="11">
        <f t="shared" si="14"/>
        <v>1304.9517481436535</v>
      </c>
      <c r="X25" s="2">
        <f t="shared" si="15"/>
        <v>6.2142315173829079E-14</v>
      </c>
      <c r="Y25" s="2">
        <f t="shared" si="16"/>
        <v>37422102197.679871</v>
      </c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</row>
    <row r="26" spans="1:76" s="4" customFormat="1" x14ac:dyDescent="0.3">
      <c r="A26" s="26">
        <v>72</v>
      </c>
      <c r="B26" s="26">
        <f t="shared" si="2"/>
        <v>1.2</v>
      </c>
      <c r="C26" s="26">
        <v>20</v>
      </c>
      <c r="D26" s="26">
        <f t="shared" si="0"/>
        <v>29.146000000000001</v>
      </c>
      <c r="E26" s="26">
        <f t="shared" si="3"/>
        <v>4.8576666666666667E-7</v>
      </c>
      <c r="F26" s="26">
        <v>21.1</v>
      </c>
      <c r="G26" s="26">
        <f t="shared" si="4"/>
        <v>294.10000000000002</v>
      </c>
      <c r="H26" s="26">
        <v>101.3</v>
      </c>
      <c r="I26" s="26">
        <f t="shared" si="5"/>
        <v>101300</v>
      </c>
      <c r="J26" s="26">
        <f t="shared" si="6"/>
        <v>2.0124824921938581E-5</v>
      </c>
      <c r="K26" s="28">
        <v>369.37623762376239</v>
      </c>
      <c r="L26" s="27">
        <f t="shared" si="7"/>
        <v>3.6937623762376239E-4</v>
      </c>
      <c r="M26" s="29">
        <f t="shared" si="8"/>
        <v>4.7762865441819992E-3</v>
      </c>
      <c r="N26" s="27">
        <f t="shared" si="9"/>
        <v>1.5563622583652393E-6</v>
      </c>
      <c r="O26" s="21">
        <f t="shared" si="10"/>
        <v>2.032E-3</v>
      </c>
      <c r="P26" s="21">
        <v>1.0571269522665299E-10</v>
      </c>
      <c r="Q26" s="2">
        <v>0.32</v>
      </c>
      <c r="R26" s="27">
        <f t="shared" si="11"/>
        <v>132000</v>
      </c>
      <c r="S26" s="2">
        <f t="shared" si="12"/>
        <v>5.2493374855265302E-3</v>
      </c>
      <c r="T26" s="11">
        <v>0.11</v>
      </c>
      <c r="U26" s="30">
        <f t="shared" si="13"/>
        <v>111000.00000000001</v>
      </c>
      <c r="V26" s="30">
        <f t="shared" si="1"/>
        <v>41.000762376237631</v>
      </c>
      <c r="W26" s="11">
        <f t="shared" si="14"/>
        <v>1319.1017436960319</v>
      </c>
      <c r="X26" s="2">
        <f t="shared" si="15"/>
        <v>6.2517711868431131E-14</v>
      </c>
      <c r="Y26" s="2">
        <f t="shared" si="16"/>
        <v>37648166087.169228</v>
      </c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</row>
    <row r="27" spans="1:76" s="4" customFormat="1" x14ac:dyDescent="0.3">
      <c r="A27" s="26">
        <v>75</v>
      </c>
      <c r="B27" s="26">
        <f t="shared" si="2"/>
        <v>1.25</v>
      </c>
      <c r="C27" s="26">
        <v>20</v>
      </c>
      <c r="D27" s="26">
        <f t="shared" si="0"/>
        <v>29.146000000000001</v>
      </c>
      <c r="E27" s="26">
        <f t="shared" si="3"/>
        <v>4.8576666666666667E-7</v>
      </c>
      <c r="F27" s="26">
        <v>21.1</v>
      </c>
      <c r="G27" s="26">
        <f t="shared" si="4"/>
        <v>294.10000000000002</v>
      </c>
      <c r="H27" s="26">
        <v>101.3</v>
      </c>
      <c r="I27" s="26">
        <f t="shared" si="5"/>
        <v>101300</v>
      </c>
      <c r="J27" s="26">
        <f t="shared" si="6"/>
        <v>2.0124824921938581E-5</v>
      </c>
      <c r="K27" s="28">
        <v>387.37128712871288</v>
      </c>
      <c r="L27" s="27">
        <f t="shared" si="7"/>
        <v>3.8737128712871286E-4</v>
      </c>
      <c r="M27" s="29">
        <f t="shared" si="8"/>
        <v>4.7762865441819992E-3</v>
      </c>
      <c r="N27" s="27">
        <f t="shared" si="9"/>
        <v>1.6321841793071222E-6</v>
      </c>
      <c r="O27" s="21">
        <f t="shared" si="10"/>
        <v>2.032E-3</v>
      </c>
      <c r="P27" s="21">
        <v>1.0571269522665299E-10</v>
      </c>
      <c r="Q27" s="2">
        <v>0.32</v>
      </c>
      <c r="R27" s="27">
        <f t="shared" si="11"/>
        <v>132000</v>
      </c>
      <c r="S27" s="2">
        <f t="shared" si="12"/>
        <v>5.2493374855265302E-3</v>
      </c>
      <c r="T27" s="11">
        <v>0.11</v>
      </c>
      <c r="U27" s="30">
        <f t="shared" si="13"/>
        <v>111000.00000000001</v>
      </c>
      <c r="V27" s="30">
        <f t="shared" si="1"/>
        <v>42.99821287128713</v>
      </c>
      <c r="W27" s="11">
        <f t="shared" si="14"/>
        <v>1438.7608360384634</v>
      </c>
      <c r="X27" s="2">
        <f t="shared" si="15"/>
        <v>6.5623500899531909E-14</v>
      </c>
      <c r="Y27" s="2">
        <f t="shared" si="16"/>
        <v>39518472241.69812</v>
      </c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</row>
    <row r="28" spans="1:76" s="4" customFormat="1" x14ac:dyDescent="0.3">
      <c r="A28" s="26">
        <v>78</v>
      </c>
      <c r="B28" s="26">
        <f t="shared" si="2"/>
        <v>1.3</v>
      </c>
      <c r="C28" s="26">
        <v>20</v>
      </c>
      <c r="D28" s="26">
        <f t="shared" si="0"/>
        <v>29.146000000000001</v>
      </c>
      <c r="E28" s="26">
        <f t="shared" si="3"/>
        <v>4.8576666666666667E-7</v>
      </c>
      <c r="F28" s="26">
        <v>21.1</v>
      </c>
      <c r="G28" s="26">
        <f t="shared" si="4"/>
        <v>294.10000000000002</v>
      </c>
      <c r="H28" s="26">
        <v>101.3</v>
      </c>
      <c r="I28" s="26">
        <f t="shared" si="5"/>
        <v>101300</v>
      </c>
      <c r="J28" s="26">
        <f t="shared" si="6"/>
        <v>2.0124824921938581E-5</v>
      </c>
      <c r="K28" s="28">
        <v>387.71782178217825</v>
      </c>
      <c r="L28" s="27">
        <f t="shared" si="7"/>
        <v>3.8771782178217826E-4</v>
      </c>
      <c r="M28" s="29">
        <f t="shared" si="8"/>
        <v>4.7762865441819992E-3</v>
      </c>
      <c r="N28" s="27">
        <f t="shared" si="9"/>
        <v>1.6336442988300746E-6</v>
      </c>
      <c r="O28" s="21">
        <f t="shared" si="10"/>
        <v>2.032E-3</v>
      </c>
      <c r="P28" s="21">
        <v>1.0571269522665299E-10</v>
      </c>
      <c r="Q28" s="2">
        <v>0.32</v>
      </c>
      <c r="R28" s="27">
        <f t="shared" si="11"/>
        <v>132000</v>
      </c>
      <c r="S28" s="2">
        <f t="shared" si="12"/>
        <v>5.2493374855265302E-3</v>
      </c>
      <c r="T28" s="11">
        <v>0.11</v>
      </c>
      <c r="U28" s="30">
        <f t="shared" si="13"/>
        <v>111000.00000000001</v>
      </c>
      <c r="V28" s="30">
        <f t="shared" si="1"/>
        <v>43.036678217821795</v>
      </c>
      <c r="W28" s="11">
        <f t="shared" si="14"/>
        <v>1441.1134164292976</v>
      </c>
      <c r="X28" s="2">
        <f t="shared" si="15"/>
        <v>6.5683389926707198E-14</v>
      </c>
      <c r="Y28" s="2">
        <f t="shared" si="16"/>
        <v>39554537413.863075</v>
      </c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</row>
    <row r="29" spans="1:76" s="4" customFormat="1" x14ac:dyDescent="0.3">
      <c r="A29" s="26">
        <v>81</v>
      </c>
      <c r="B29" s="26">
        <f t="shared" si="2"/>
        <v>1.35</v>
      </c>
      <c r="C29" s="26">
        <v>20</v>
      </c>
      <c r="D29" s="26">
        <f t="shared" si="0"/>
        <v>29.146000000000001</v>
      </c>
      <c r="E29" s="26">
        <f t="shared" si="3"/>
        <v>4.8576666666666667E-7</v>
      </c>
      <c r="F29" s="26">
        <v>21.1</v>
      </c>
      <c r="G29" s="26">
        <f t="shared" si="4"/>
        <v>294.10000000000002</v>
      </c>
      <c r="H29" s="26">
        <v>101.3</v>
      </c>
      <c r="I29" s="26">
        <f t="shared" si="5"/>
        <v>101300</v>
      </c>
      <c r="J29" s="26">
        <f t="shared" si="6"/>
        <v>2.0124824921938581E-5</v>
      </c>
      <c r="K29" s="28">
        <v>389.12871287128718</v>
      </c>
      <c r="L29" s="27">
        <f t="shared" si="7"/>
        <v>3.8912871287128715E-4</v>
      </c>
      <c r="M29" s="29">
        <f t="shared" si="8"/>
        <v>4.7762865441819992E-3</v>
      </c>
      <c r="N29" s="27">
        <f t="shared" si="9"/>
        <v>1.6395890711735234E-6</v>
      </c>
      <c r="O29" s="21">
        <f t="shared" si="10"/>
        <v>2.032E-3</v>
      </c>
      <c r="P29" s="21">
        <v>1.0571269522665299E-10</v>
      </c>
      <c r="Q29" s="2">
        <v>0.32</v>
      </c>
      <c r="R29" s="27">
        <f t="shared" si="11"/>
        <v>132000</v>
      </c>
      <c r="S29" s="2">
        <f t="shared" si="12"/>
        <v>5.2493374855265302E-3</v>
      </c>
      <c r="T29" s="11">
        <v>0.11</v>
      </c>
      <c r="U29" s="30">
        <f t="shared" si="13"/>
        <v>111000.00000000001</v>
      </c>
      <c r="V29" s="30">
        <f t="shared" si="1"/>
        <v>43.193287128712882</v>
      </c>
      <c r="W29" s="11">
        <f t="shared" si="14"/>
        <v>1450.7105914580463</v>
      </c>
      <c r="X29" s="27">
        <f t="shared" si="15"/>
        <v>6.5927255607165752E-14</v>
      </c>
      <c r="Y29" s="27">
        <f t="shared" si="16"/>
        <v>39701393326.635216</v>
      </c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</row>
    <row r="30" spans="1:76" s="4" customFormat="1" x14ac:dyDescent="0.3">
      <c r="A30" s="26">
        <v>84</v>
      </c>
      <c r="B30" s="26">
        <f t="shared" si="2"/>
        <v>1.4</v>
      </c>
      <c r="C30" s="26">
        <v>20</v>
      </c>
      <c r="D30" s="26">
        <f t="shared" si="0"/>
        <v>29.146000000000001</v>
      </c>
      <c r="E30" s="26">
        <f t="shared" si="3"/>
        <v>4.8576666666666667E-7</v>
      </c>
      <c r="F30" s="26">
        <v>21.1</v>
      </c>
      <c r="G30" s="26">
        <f t="shared" si="4"/>
        <v>294.10000000000002</v>
      </c>
      <c r="H30" s="26">
        <v>101.3</v>
      </c>
      <c r="I30" s="26">
        <f t="shared" si="5"/>
        <v>101300</v>
      </c>
      <c r="J30" s="26">
        <f t="shared" si="6"/>
        <v>2.0124824921938581E-5</v>
      </c>
      <c r="K30" s="28">
        <v>399.30198019801986</v>
      </c>
      <c r="L30" s="27">
        <f t="shared" si="7"/>
        <v>3.9930198019801988E-4</v>
      </c>
      <c r="M30" s="29">
        <f t="shared" si="8"/>
        <v>4.7762865441819992E-3</v>
      </c>
      <c r="N30" s="27">
        <f t="shared" si="9"/>
        <v>1.6824540085973393E-6</v>
      </c>
      <c r="O30" s="21">
        <f t="shared" si="10"/>
        <v>2.032E-3</v>
      </c>
      <c r="P30" s="21">
        <v>1.0571269522665299E-10</v>
      </c>
      <c r="Q30" s="2">
        <v>0.32</v>
      </c>
      <c r="R30" s="27">
        <f t="shared" si="11"/>
        <v>132000</v>
      </c>
      <c r="S30" s="2">
        <f t="shared" si="12"/>
        <v>5.2493374855265302E-3</v>
      </c>
      <c r="T30" s="11">
        <v>0.11</v>
      </c>
      <c r="U30" s="30">
        <f t="shared" si="13"/>
        <v>111000.00000000001</v>
      </c>
      <c r="V30" s="30">
        <f t="shared" si="1"/>
        <v>44.322519801980214</v>
      </c>
      <c r="W30" s="11">
        <f t="shared" si="14"/>
        <v>1520.8047681656374</v>
      </c>
      <c r="X30" s="27">
        <f t="shared" si="15"/>
        <v>6.7687180928056563E-14</v>
      </c>
      <c r="Y30" s="27">
        <f t="shared" si="16"/>
        <v>40761220354.875664</v>
      </c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</row>
    <row r="31" spans="1:76" s="4" customFormat="1" x14ac:dyDescent="0.3">
      <c r="A31" s="26">
        <v>87</v>
      </c>
      <c r="B31" s="26">
        <f t="shared" si="2"/>
        <v>1.45</v>
      </c>
      <c r="C31" s="26">
        <v>20</v>
      </c>
      <c r="D31" s="26">
        <f t="shared" si="0"/>
        <v>29.146000000000001</v>
      </c>
      <c r="E31" s="26">
        <f t="shared" si="3"/>
        <v>4.8576666666666667E-7</v>
      </c>
      <c r="F31" s="26">
        <v>21.1</v>
      </c>
      <c r="G31" s="26">
        <f t="shared" si="4"/>
        <v>294.10000000000002</v>
      </c>
      <c r="H31" s="26">
        <v>101.3</v>
      </c>
      <c r="I31" s="26">
        <f t="shared" si="5"/>
        <v>101300</v>
      </c>
      <c r="J31" s="26">
        <f t="shared" si="6"/>
        <v>2.0124824921938581E-5</v>
      </c>
      <c r="K31" s="28">
        <v>406.28217821782187</v>
      </c>
      <c r="L31" s="27">
        <f t="shared" si="7"/>
        <v>4.0628217821782185E-4</v>
      </c>
      <c r="M31" s="29">
        <f t="shared" si="8"/>
        <v>4.7762865441819992E-3</v>
      </c>
      <c r="N31" s="27">
        <f t="shared" si="9"/>
        <v>1.7118649875596652E-6</v>
      </c>
      <c r="O31" s="21">
        <f t="shared" si="10"/>
        <v>2.032E-3</v>
      </c>
      <c r="P31" s="21">
        <v>1.0571269522665299E-10</v>
      </c>
      <c r="Q31" s="2">
        <v>0.32</v>
      </c>
      <c r="R31" s="27">
        <f t="shared" si="11"/>
        <v>132000</v>
      </c>
      <c r="S31" s="2">
        <f t="shared" si="12"/>
        <v>5.2493374855265302E-3</v>
      </c>
      <c r="T31" s="11">
        <v>0.11</v>
      </c>
      <c r="U31" s="30">
        <f t="shared" si="13"/>
        <v>111000.00000000001</v>
      </c>
      <c r="V31" s="30">
        <f t="shared" si="1"/>
        <v>45.097321782178234</v>
      </c>
      <c r="W31" s="11">
        <f t="shared" si="14"/>
        <v>1569.805421395788</v>
      </c>
      <c r="X31" s="27">
        <f t="shared" si="15"/>
        <v>6.8896294131814858E-14</v>
      </c>
      <c r="Y31" s="27">
        <f t="shared" si="16"/>
        <v>41489348326.178909</v>
      </c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</row>
    <row r="32" spans="1:76" s="4" customFormat="1" x14ac:dyDescent="0.3">
      <c r="A32" s="26">
        <v>90</v>
      </c>
      <c r="B32" s="26">
        <f t="shared" si="2"/>
        <v>1.5</v>
      </c>
      <c r="C32" s="26">
        <v>20</v>
      </c>
      <c r="D32" s="26">
        <f t="shared" si="0"/>
        <v>29.146000000000001</v>
      </c>
      <c r="E32" s="26">
        <f t="shared" si="3"/>
        <v>4.8576666666666667E-7</v>
      </c>
      <c r="F32" s="26">
        <v>21.1</v>
      </c>
      <c r="G32" s="26">
        <f t="shared" si="4"/>
        <v>294.10000000000002</v>
      </c>
      <c r="H32" s="26">
        <v>101.3</v>
      </c>
      <c r="I32" s="26">
        <f t="shared" si="5"/>
        <v>101300</v>
      </c>
      <c r="J32" s="26">
        <f t="shared" si="6"/>
        <v>2.0124824921938581E-5</v>
      </c>
      <c r="K32" s="28">
        <v>402.02475247524757</v>
      </c>
      <c r="L32" s="27">
        <f t="shared" si="7"/>
        <v>4.0202475247524754E-4</v>
      </c>
      <c r="M32" s="29">
        <f t="shared" si="8"/>
        <v>4.7762865441819992E-3</v>
      </c>
      <c r="N32" s="27">
        <f t="shared" si="9"/>
        <v>1.693926376277679E-6</v>
      </c>
      <c r="O32" s="21">
        <f t="shared" si="10"/>
        <v>2.032E-3</v>
      </c>
      <c r="P32" s="21">
        <v>1.0571269522665299E-10</v>
      </c>
      <c r="Q32" s="2">
        <v>0.32</v>
      </c>
      <c r="R32" s="27">
        <f t="shared" si="11"/>
        <v>132000</v>
      </c>
      <c r="S32" s="2">
        <f t="shared" si="12"/>
        <v>5.2493374855265302E-3</v>
      </c>
      <c r="T32" s="11">
        <v>0.11</v>
      </c>
      <c r="U32" s="30">
        <f t="shared" si="13"/>
        <v>111000.00000000001</v>
      </c>
      <c r="V32" s="30">
        <f t="shared" si="1"/>
        <v>44.624747524752486</v>
      </c>
      <c r="W32" s="11">
        <f t="shared" si="14"/>
        <v>1539.8307665821681</v>
      </c>
      <c r="X32" s="27">
        <f t="shared" si="15"/>
        <v>6.8158666947665002E-14</v>
      </c>
      <c r="Y32" s="27">
        <f t="shared" si="16"/>
        <v>41045149235.883865</v>
      </c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</row>
    <row r="33" spans="1:76" s="4" customFormat="1" x14ac:dyDescent="0.3">
      <c r="A33" s="26">
        <v>93</v>
      </c>
      <c r="B33" s="26">
        <f t="shared" si="2"/>
        <v>1.55</v>
      </c>
      <c r="C33" s="26">
        <v>20</v>
      </c>
      <c r="D33" s="26">
        <f t="shared" si="0"/>
        <v>29.146000000000001</v>
      </c>
      <c r="E33" s="26">
        <f t="shared" si="3"/>
        <v>4.8576666666666667E-7</v>
      </c>
      <c r="F33" s="26">
        <v>21.1</v>
      </c>
      <c r="G33" s="26">
        <f t="shared" si="4"/>
        <v>294.10000000000002</v>
      </c>
      <c r="H33" s="26">
        <v>101.3</v>
      </c>
      <c r="I33" s="26">
        <f t="shared" si="5"/>
        <v>101300</v>
      </c>
      <c r="J33" s="26">
        <f t="shared" si="6"/>
        <v>2.0124824921938581E-5</v>
      </c>
      <c r="K33" s="28">
        <v>411.05940594059405</v>
      </c>
      <c r="L33" s="27">
        <f t="shared" si="7"/>
        <v>4.1105940594059404E-4</v>
      </c>
      <c r="M33" s="29">
        <f t="shared" si="8"/>
        <v>4.7762865441819992E-3</v>
      </c>
      <c r="N33" s="27">
        <f t="shared" si="9"/>
        <v>1.7319937781260791E-6</v>
      </c>
      <c r="O33" s="21">
        <f t="shared" si="10"/>
        <v>2.032E-3</v>
      </c>
      <c r="P33" s="21">
        <v>1.0571269522665299E-10</v>
      </c>
      <c r="Q33" s="2">
        <v>0.32</v>
      </c>
      <c r="R33" s="27">
        <f t="shared" si="11"/>
        <v>132000</v>
      </c>
      <c r="S33" s="2">
        <f t="shared" si="12"/>
        <v>5.2493374855265302E-3</v>
      </c>
      <c r="T33" s="11">
        <v>0.11</v>
      </c>
      <c r="U33" s="30">
        <f t="shared" si="13"/>
        <v>111000.00000000001</v>
      </c>
      <c r="V33" s="30">
        <f t="shared" si="1"/>
        <v>45.627594059405943</v>
      </c>
      <c r="W33" s="11">
        <f t="shared" si="14"/>
        <v>1603.7662138675682</v>
      </c>
      <c r="X33" s="27">
        <f t="shared" si="15"/>
        <v>6.9724558756258008E-14</v>
      </c>
      <c r="Y33" s="27">
        <f t="shared" si="16"/>
        <v>41988129283.018578</v>
      </c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</row>
    <row r="34" spans="1:76" s="4" customFormat="1" x14ac:dyDescent="0.3">
      <c r="A34" s="26">
        <v>96</v>
      </c>
      <c r="B34" s="26">
        <f t="shared" si="2"/>
        <v>1.6</v>
      </c>
      <c r="C34" s="26">
        <v>20</v>
      </c>
      <c r="D34" s="26">
        <f t="shared" si="0"/>
        <v>29.146000000000001</v>
      </c>
      <c r="E34" s="26">
        <f t="shared" si="3"/>
        <v>4.8576666666666667E-7</v>
      </c>
      <c r="F34" s="26">
        <v>21.1</v>
      </c>
      <c r="G34" s="26">
        <f t="shared" si="4"/>
        <v>294.10000000000002</v>
      </c>
      <c r="H34" s="26">
        <v>101.3</v>
      </c>
      <c r="I34" s="26">
        <f t="shared" si="5"/>
        <v>101300</v>
      </c>
      <c r="J34" s="26">
        <f t="shared" si="6"/>
        <v>2.0124824921938581E-5</v>
      </c>
      <c r="K34" s="28">
        <v>421.20792079207922</v>
      </c>
      <c r="L34" s="27">
        <f t="shared" si="7"/>
        <v>4.2120792079207924E-4</v>
      </c>
      <c r="M34" s="29">
        <f t="shared" si="8"/>
        <v>4.7762865441819992E-3</v>
      </c>
      <c r="N34" s="27">
        <f t="shared" si="9"/>
        <v>1.7747544212982554E-6</v>
      </c>
      <c r="O34" s="21">
        <f t="shared" si="10"/>
        <v>2.032E-3</v>
      </c>
      <c r="P34" s="21">
        <v>1.0571269522665299E-10</v>
      </c>
      <c r="Q34" s="2">
        <v>0.32</v>
      </c>
      <c r="R34" s="27">
        <f t="shared" si="11"/>
        <v>132000</v>
      </c>
      <c r="S34" s="2">
        <f t="shared" si="12"/>
        <v>5.2493374855265302E-3</v>
      </c>
      <c r="T34" s="11">
        <v>0.11</v>
      </c>
      <c r="U34" s="30">
        <f t="shared" si="13"/>
        <v>111000.00000000001</v>
      </c>
      <c r="V34" s="30">
        <f t="shared" si="1"/>
        <v>46.754079207920803</v>
      </c>
      <c r="W34" s="11">
        <f t="shared" si="14"/>
        <v>1677.0553838179333</v>
      </c>
      <c r="X34" s="27">
        <f t="shared" si="15"/>
        <v>7.1486144966740425E-14</v>
      </c>
      <c r="Y34" s="27">
        <f t="shared" si="16"/>
        <v>43048956498.971085</v>
      </c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</row>
    <row r="35" spans="1:76" s="4" customFormat="1" x14ac:dyDescent="0.3">
      <c r="A35" s="26">
        <v>99</v>
      </c>
      <c r="B35" s="26">
        <f t="shared" si="2"/>
        <v>1.65</v>
      </c>
      <c r="C35" s="26">
        <v>20</v>
      </c>
      <c r="D35" s="26">
        <f t="shared" si="0"/>
        <v>29.146000000000001</v>
      </c>
      <c r="E35" s="26">
        <f t="shared" si="3"/>
        <v>4.8576666666666667E-7</v>
      </c>
      <c r="F35" s="26">
        <v>21.1</v>
      </c>
      <c r="G35" s="26">
        <f t="shared" si="4"/>
        <v>294.10000000000002</v>
      </c>
      <c r="H35" s="26">
        <v>101.3</v>
      </c>
      <c r="I35" s="26">
        <f t="shared" si="5"/>
        <v>101300</v>
      </c>
      <c r="J35" s="26">
        <f t="shared" si="6"/>
        <v>2.0124824921938581E-5</v>
      </c>
      <c r="K35" s="28">
        <v>420.39108910891088</v>
      </c>
      <c r="L35" s="27">
        <f t="shared" si="7"/>
        <v>4.2039108910891089E-4</v>
      </c>
      <c r="M35" s="29">
        <f t="shared" si="8"/>
        <v>4.7762865441819992E-3</v>
      </c>
      <c r="N35" s="27">
        <f t="shared" si="9"/>
        <v>1.7713127109941533E-6</v>
      </c>
      <c r="O35" s="21">
        <f t="shared" si="10"/>
        <v>2.032E-3</v>
      </c>
      <c r="P35" s="21">
        <v>1.0571269522665299E-10</v>
      </c>
      <c r="Q35" s="2">
        <v>0.32</v>
      </c>
      <c r="R35" s="27">
        <f t="shared" si="11"/>
        <v>132000</v>
      </c>
      <c r="S35" s="2">
        <f t="shared" si="12"/>
        <v>5.2493374855265302E-3</v>
      </c>
      <c r="T35" s="11">
        <v>0.11</v>
      </c>
      <c r="U35" s="30">
        <f t="shared" si="13"/>
        <v>111000.00000000001</v>
      </c>
      <c r="V35" s="30">
        <f t="shared" si="1"/>
        <v>46.663410891089114</v>
      </c>
      <c r="W35" s="11">
        <f t="shared" si="14"/>
        <v>1671.0989502719592</v>
      </c>
      <c r="X35" s="27">
        <f t="shared" si="15"/>
        <v>7.1344253941521533E-14</v>
      </c>
      <c r="Y35" s="27">
        <f t="shared" si="16"/>
        <v>42963509723.584267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</row>
    <row r="36" spans="1:76" s="4" customFormat="1" x14ac:dyDescent="0.3">
      <c r="A36" s="26">
        <v>102</v>
      </c>
      <c r="B36" s="26">
        <f t="shared" si="2"/>
        <v>1.7</v>
      </c>
      <c r="C36" s="26">
        <v>20</v>
      </c>
      <c r="D36" s="26">
        <f t="shared" si="0"/>
        <v>29.146000000000001</v>
      </c>
      <c r="E36" s="26">
        <f t="shared" si="3"/>
        <v>4.8576666666666667E-7</v>
      </c>
      <c r="F36" s="26">
        <v>21.1</v>
      </c>
      <c r="G36" s="26">
        <f t="shared" si="4"/>
        <v>294.10000000000002</v>
      </c>
      <c r="H36" s="26">
        <v>101.3</v>
      </c>
      <c r="I36" s="26">
        <f t="shared" si="5"/>
        <v>101300</v>
      </c>
      <c r="J36" s="26">
        <f t="shared" si="6"/>
        <v>2.0124824921938581E-5</v>
      </c>
      <c r="K36" s="28">
        <v>411.45544554455449</v>
      </c>
      <c r="L36" s="27">
        <f t="shared" si="7"/>
        <v>4.1145544554455451E-4</v>
      </c>
      <c r="M36" s="29">
        <f t="shared" si="8"/>
        <v>4.7762865441819992E-3</v>
      </c>
      <c r="N36" s="27">
        <f t="shared" si="9"/>
        <v>1.7336624861523108E-6</v>
      </c>
      <c r="O36" s="21">
        <f t="shared" si="10"/>
        <v>2.032E-3</v>
      </c>
      <c r="P36" s="21">
        <v>1.0571269522665299E-10</v>
      </c>
      <c r="Q36" s="2">
        <v>0.32</v>
      </c>
      <c r="R36" s="27">
        <f t="shared" si="11"/>
        <v>132000</v>
      </c>
      <c r="S36" s="2">
        <f t="shared" si="12"/>
        <v>5.2493374855265302E-3</v>
      </c>
      <c r="T36" s="11">
        <v>0.11</v>
      </c>
      <c r="U36" s="30">
        <f t="shared" si="13"/>
        <v>111000.00000000001</v>
      </c>
      <c r="V36" s="30">
        <f t="shared" si="1"/>
        <v>45.671554455445559</v>
      </c>
      <c r="W36" s="11">
        <f t="shared" si="14"/>
        <v>1606.5971044982516</v>
      </c>
      <c r="X36" s="27">
        <f t="shared" si="15"/>
        <v>6.9793250837266035E-14</v>
      </c>
      <c r="Y36" s="27">
        <f t="shared" si="16"/>
        <v>42029495654.201607</v>
      </c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</row>
    <row r="37" spans="1:76" s="4" customFormat="1" x14ac:dyDescent="0.3">
      <c r="A37" s="26">
        <v>105</v>
      </c>
      <c r="B37" s="26">
        <f t="shared" si="2"/>
        <v>1.75</v>
      </c>
      <c r="C37" s="26">
        <v>20</v>
      </c>
      <c r="D37" s="26">
        <f t="shared" si="0"/>
        <v>29.146000000000001</v>
      </c>
      <c r="E37" s="26">
        <f t="shared" si="3"/>
        <v>4.8576666666666667E-7</v>
      </c>
      <c r="F37" s="26">
        <v>21.1</v>
      </c>
      <c r="G37" s="26">
        <f t="shared" si="4"/>
        <v>294.10000000000002</v>
      </c>
      <c r="H37" s="26">
        <v>101.3</v>
      </c>
      <c r="I37" s="26">
        <f t="shared" si="5"/>
        <v>101300</v>
      </c>
      <c r="J37" s="26">
        <f t="shared" si="6"/>
        <v>2.0124824921938581E-5</v>
      </c>
      <c r="K37" s="28">
        <v>426.62871287128718</v>
      </c>
      <c r="L37" s="27">
        <f t="shared" si="7"/>
        <v>4.266287128712872E-4</v>
      </c>
      <c r="M37" s="29">
        <f t="shared" si="8"/>
        <v>4.7762865441819992E-3</v>
      </c>
      <c r="N37" s="27">
        <f t="shared" si="9"/>
        <v>1.7975948624072962E-6</v>
      </c>
      <c r="O37" s="21">
        <f t="shared" si="10"/>
        <v>2.032E-3</v>
      </c>
      <c r="P37" s="21">
        <v>1.0571269522665299E-10</v>
      </c>
      <c r="Q37" s="2">
        <v>0.32</v>
      </c>
      <c r="R37" s="27">
        <f t="shared" si="11"/>
        <v>132000</v>
      </c>
      <c r="S37" s="2">
        <f t="shared" si="12"/>
        <v>5.2493374855265302E-3</v>
      </c>
      <c r="T37" s="11">
        <v>0.11</v>
      </c>
      <c r="U37" s="30">
        <f t="shared" si="13"/>
        <v>111000.00000000001</v>
      </c>
      <c r="V37" s="30">
        <f t="shared" si="1"/>
        <v>47.355787128712883</v>
      </c>
      <c r="W37" s="11">
        <f t="shared" si="14"/>
        <v>1716.8395230530882</v>
      </c>
      <c r="X37" s="27">
        <f t="shared" si="15"/>
        <v>7.2428255965545293E-14</v>
      </c>
      <c r="Y37" s="27">
        <f t="shared" si="16"/>
        <v>43616295742.451378</v>
      </c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</row>
    <row r="38" spans="1:76" s="4" customFormat="1" x14ac:dyDescent="0.3">
      <c r="A38" s="26">
        <v>108</v>
      </c>
      <c r="B38" s="26">
        <f t="shared" si="2"/>
        <v>1.8</v>
      </c>
      <c r="C38" s="26">
        <v>20</v>
      </c>
      <c r="D38" s="26">
        <f t="shared" si="0"/>
        <v>29.146000000000001</v>
      </c>
      <c r="E38" s="26">
        <f t="shared" si="3"/>
        <v>4.8576666666666667E-7</v>
      </c>
      <c r="F38" s="26">
        <v>21.1</v>
      </c>
      <c r="G38" s="26">
        <f t="shared" si="4"/>
        <v>294.10000000000002</v>
      </c>
      <c r="H38" s="26">
        <v>101.3</v>
      </c>
      <c r="I38" s="26">
        <f t="shared" si="5"/>
        <v>101300</v>
      </c>
      <c r="J38" s="26">
        <f t="shared" si="6"/>
        <v>2.0124824921938581E-5</v>
      </c>
      <c r="K38" s="28">
        <v>428.36138613861391</v>
      </c>
      <c r="L38" s="27">
        <f t="shared" si="7"/>
        <v>4.2836138613861391E-4</v>
      </c>
      <c r="M38" s="29">
        <f t="shared" si="8"/>
        <v>4.7762865441819992E-3</v>
      </c>
      <c r="N38" s="27">
        <f t="shared" si="9"/>
        <v>1.8048954600220575E-6</v>
      </c>
      <c r="O38" s="21">
        <f t="shared" si="10"/>
        <v>2.032E-3</v>
      </c>
      <c r="P38" s="21">
        <v>1.0571269522665299E-10</v>
      </c>
      <c r="Q38" s="2">
        <v>0.32</v>
      </c>
      <c r="R38" s="27">
        <f t="shared" si="11"/>
        <v>132000</v>
      </c>
      <c r="S38" s="2">
        <f t="shared" si="12"/>
        <v>5.2493374855265302E-3</v>
      </c>
      <c r="T38" s="11">
        <v>0.11</v>
      </c>
      <c r="U38" s="30">
        <f t="shared" si="13"/>
        <v>111000.00000000001</v>
      </c>
      <c r="V38" s="30">
        <f t="shared" si="1"/>
        <v>47.548113861386149</v>
      </c>
      <c r="W38" s="11">
        <f t="shared" si="14"/>
        <v>1729.6493799841073</v>
      </c>
      <c r="X38" s="27">
        <f t="shared" si="15"/>
        <v>7.2729560875954923E-14</v>
      </c>
      <c r="Y38" s="27">
        <f t="shared" si="16"/>
        <v>43797741559.500053</v>
      </c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</row>
    <row r="39" spans="1:76" s="4" customFormat="1" x14ac:dyDescent="0.3">
      <c r="A39" s="26">
        <v>111</v>
      </c>
      <c r="B39" s="26">
        <f t="shared" si="2"/>
        <v>1.85</v>
      </c>
      <c r="C39" s="26">
        <v>20</v>
      </c>
      <c r="D39" s="26">
        <f t="shared" si="0"/>
        <v>29.146000000000001</v>
      </c>
      <c r="E39" s="26">
        <f t="shared" si="3"/>
        <v>4.8576666666666667E-7</v>
      </c>
      <c r="F39" s="26">
        <v>21.1</v>
      </c>
      <c r="G39" s="26">
        <f t="shared" si="4"/>
        <v>294.10000000000002</v>
      </c>
      <c r="H39" s="26">
        <v>101.3</v>
      </c>
      <c r="I39" s="26">
        <f t="shared" si="5"/>
        <v>101300</v>
      </c>
      <c r="J39" s="26">
        <f t="shared" si="6"/>
        <v>2.0124824921938581E-5</v>
      </c>
      <c r="K39" s="28">
        <v>414.25247524752479</v>
      </c>
      <c r="L39" s="27">
        <f t="shared" si="7"/>
        <v>4.1425247524752481E-4</v>
      </c>
      <c r="M39" s="29">
        <f t="shared" si="8"/>
        <v>4.7762865441819992E-3</v>
      </c>
      <c r="N39" s="27">
        <f t="shared" si="9"/>
        <v>1.745447736587569E-6</v>
      </c>
      <c r="O39" s="21">
        <f t="shared" si="10"/>
        <v>2.032E-3</v>
      </c>
      <c r="P39" s="21">
        <v>1.0571269522665299E-10</v>
      </c>
      <c r="Q39" s="2">
        <v>0.32</v>
      </c>
      <c r="R39" s="27">
        <f t="shared" si="11"/>
        <v>132000</v>
      </c>
      <c r="S39" s="2">
        <f t="shared" si="12"/>
        <v>5.2493374855265302E-3</v>
      </c>
      <c r="T39" s="11">
        <v>0.11</v>
      </c>
      <c r="U39" s="30">
        <f t="shared" si="13"/>
        <v>111000.00000000001</v>
      </c>
      <c r="V39" s="30">
        <f t="shared" si="1"/>
        <v>45.982024752475262</v>
      </c>
      <c r="W39" s="11">
        <f t="shared" si="14"/>
        <v>1626.6577558990091</v>
      </c>
      <c r="X39" s="27">
        <f t="shared" si="15"/>
        <v>7.0278509969787443E-14</v>
      </c>
      <c r="Y39" s="27">
        <f t="shared" si="16"/>
        <v>42321718703.806</v>
      </c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</row>
    <row r="40" spans="1:76" s="4" customFormat="1" x14ac:dyDescent="0.3">
      <c r="A40" s="26">
        <v>114</v>
      </c>
      <c r="B40" s="26">
        <f t="shared" si="2"/>
        <v>1.9</v>
      </c>
      <c r="C40" s="26">
        <v>20</v>
      </c>
      <c r="D40" s="26">
        <f t="shared" si="0"/>
        <v>29.146000000000001</v>
      </c>
      <c r="E40" s="26">
        <f t="shared" si="3"/>
        <v>4.8576666666666667E-7</v>
      </c>
      <c r="F40" s="26">
        <v>21.1</v>
      </c>
      <c r="G40" s="26">
        <f t="shared" si="4"/>
        <v>294.10000000000002</v>
      </c>
      <c r="H40" s="26">
        <v>101.3</v>
      </c>
      <c r="I40" s="26">
        <f t="shared" si="5"/>
        <v>101300</v>
      </c>
      <c r="J40" s="26">
        <f t="shared" si="6"/>
        <v>2.0124824921938581E-5</v>
      </c>
      <c r="K40" s="28">
        <v>414.25247524752479</v>
      </c>
      <c r="L40" s="27">
        <f t="shared" si="7"/>
        <v>4.1425247524752481E-4</v>
      </c>
      <c r="M40" s="29">
        <f t="shared" si="8"/>
        <v>4.7762865441819992E-3</v>
      </c>
      <c r="N40" s="27">
        <f t="shared" si="9"/>
        <v>1.745447736587569E-6</v>
      </c>
      <c r="O40" s="21">
        <f t="shared" si="10"/>
        <v>2.032E-3</v>
      </c>
      <c r="P40" s="21">
        <v>1.0571269522665299E-10</v>
      </c>
      <c r="Q40" s="2">
        <v>0.32</v>
      </c>
      <c r="R40" s="27">
        <f t="shared" si="11"/>
        <v>132000</v>
      </c>
      <c r="S40" s="2">
        <f t="shared" si="12"/>
        <v>5.2493374855265302E-3</v>
      </c>
      <c r="T40" s="11">
        <v>0.11</v>
      </c>
      <c r="U40" s="30">
        <f t="shared" si="13"/>
        <v>111000.00000000001</v>
      </c>
      <c r="V40" s="30">
        <f t="shared" si="1"/>
        <v>45.982024752475262</v>
      </c>
      <c r="W40" s="11">
        <f t="shared" si="14"/>
        <v>1626.6577558990091</v>
      </c>
      <c r="X40" s="27">
        <f t="shared" si="15"/>
        <v>7.0278509969787443E-14</v>
      </c>
      <c r="Y40" s="27">
        <f t="shared" si="16"/>
        <v>42321718703.806</v>
      </c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</row>
    <row r="41" spans="1:76" s="4" customFormat="1" x14ac:dyDescent="0.3">
      <c r="A41" s="26">
        <v>117</v>
      </c>
      <c r="B41" s="26">
        <f t="shared" si="2"/>
        <v>1.95</v>
      </c>
      <c r="C41" s="26">
        <v>20</v>
      </c>
      <c r="D41" s="26">
        <f t="shared" si="0"/>
        <v>29.146000000000001</v>
      </c>
      <c r="E41" s="26">
        <f t="shared" si="3"/>
        <v>4.8576666666666667E-7</v>
      </c>
      <c r="F41" s="26">
        <v>21.1</v>
      </c>
      <c r="G41" s="26">
        <f t="shared" si="4"/>
        <v>294.10000000000002</v>
      </c>
      <c r="H41" s="26">
        <v>101.3</v>
      </c>
      <c r="I41" s="26">
        <f t="shared" si="5"/>
        <v>101300</v>
      </c>
      <c r="J41" s="26">
        <f t="shared" si="6"/>
        <v>2.0124824921938581E-5</v>
      </c>
      <c r="K41" s="28">
        <v>416.77722772277235</v>
      </c>
      <c r="L41" s="27">
        <f t="shared" si="7"/>
        <v>4.1677722772277235E-4</v>
      </c>
      <c r="M41" s="29">
        <f t="shared" si="8"/>
        <v>4.7762865441819992E-3</v>
      </c>
      <c r="N41" s="27">
        <f t="shared" si="9"/>
        <v>1.7560857502547932E-6</v>
      </c>
      <c r="O41" s="21">
        <f t="shared" si="10"/>
        <v>2.032E-3</v>
      </c>
      <c r="P41" s="21">
        <v>1.0571269522665299E-10</v>
      </c>
      <c r="Q41" s="2">
        <v>0.32</v>
      </c>
      <c r="R41" s="27">
        <f t="shared" si="11"/>
        <v>132000</v>
      </c>
      <c r="S41" s="2">
        <f t="shared" si="12"/>
        <v>5.2493374855265302E-3</v>
      </c>
      <c r="T41" s="11">
        <v>0.11</v>
      </c>
      <c r="U41" s="30">
        <f t="shared" si="13"/>
        <v>111000.00000000001</v>
      </c>
      <c r="V41" s="30">
        <f t="shared" si="1"/>
        <v>46.262272277227737</v>
      </c>
      <c r="W41" s="11">
        <f t="shared" si="14"/>
        <v>1644.8670977896243</v>
      </c>
      <c r="X41" s="27">
        <f t="shared" si="15"/>
        <v>7.0716714803450249E-14</v>
      </c>
      <c r="Y41" s="27">
        <f t="shared" si="16"/>
        <v>42585605654.637741</v>
      </c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</row>
    <row r="42" spans="1:76" s="4" customFormat="1" x14ac:dyDescent="0.3">
      <c r="A42" s="26">
        <v>120</v>
      </c>
      <c r="B42" s="26">
        <f t="shared" si="2"/>
        <v>2</v>
      </c>
      <c r="C42" s="26">
        <v>20</v>
      </c>
      <c r="D42" s="26">
        <f t="shared" si="0"/>
        <v>29.146000000000001</v>
      </c>
      <c r="E42" s="26">
        <f t="shared" si="3"/>
        <v>4.8576666666666667E-7</v>
      </c>
      <c r="F42" s="26">
        <v>21.1</v>
      </c>
      <c r="G42" s="26">
        <f t="shared" si="4"/>
        <v>294.10000000000002</v>
      </c>
      <c r="H42" s="26">
        <v>101.3</v>
      </c>
      <c r="I42" s="26">
        <f t="shared" si="5"/>
        <v>101300</v>
      </c>
      <c r="J42" s="26">
        <f t="shared" si="6"/>
        <v>2.0124824921938581E-5</v>
      </c>
      <c r="K42" s="20">
        <v>422.47029702970303</v>
      </c>
      <c r="L42" s="27">
        <f t="shared" si="7"/>
        <v>4.2247029702970301E-4</v>
      </c>
      <c r="M42" s="29">
        <f t="shared" si="8"/>
        <v>4.7762865441819992E-3</v>
      </c>
      <c r="N42" s="27">
        <f t="shared" si="9"/>
        <v>1.7800734281318676E-6</v>
      </c>
      <c r="O42" s="21">
        <f t="shared" si="10"/>
        <v>2.032E-3</v>
      </c>
      <c r="P42" s="21">
        <v>1.0571269522665299E-10</v>
      </c>
      <c r="Q42" s="2">
        <v>0.32</v>
      </c>
      <c r="R42" s="27">
        <f t="shared" si="11"/>
        <v>132000</v>
      </c>
      <c r="S42" s="2">
        <f t="shared" si="12"/>
        <v>5.2493374855265302E-3</v>
      </c>
      <c r="T42" s="11">
        <v>0.11</v>
      </c>
      <c r="U42" s="30">
        <f t="shared" si="13"/>
        <v>111000.00000000001</v>
      </c>
      <c r="V42" s="30">
        <f t="shared" si="1"/>
        <v>46.894202970297037</v>
      </c>
      <c r="W42" s="11">
        <f t="shared" si="14"/>
        <v>1686.2805861027507</v>
      </c>
      <c r="X42" s="9">
        <f t="shared" si="15"/>
        <v>7.1705467508019109E-14</v>
      </c>
      <c r="Y42" s="9">
        <f t="shared" si="16"/>
        <v>43181032533.329109</v>
      </c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</row>
    <row r="43" spans="1:76" s="4" customFormat="1" x14ac:dyDescent="0.3">
      <c r="A43" s="26">
        <v>123</v>
      </c>
      <c r="B43" s="26">
        <f t="shared" si="2"/>
        <v>2.0499999999999998</v>
      </c>
      <c r="C43" s="26">
        <v>20</v>
      </c>
      <c r="D43" s="26">
        <f t="shared" si="0"/>
        <v>29.146000000000001</v>
      </c>
      <c r="E43" s="26">
        <f t="shared" si="3"/>
        <v>4.8576666666666667E-7</v>
      </c>
      <c r="F43" s="26">
        <v>21.1</v>
      </c>
      <c r="G43" s="26">
        <f t="shared" si="4"/>
        <v>294.10000000000002</v>
      </c>
      <c r="H43" s="26">
        <v>101.3</v>
      </c>
      <c r="I43" s="26">
        <f t="shared" si="5"/>
        <v>101300</v>
      </c>
      <c r="J43" s="26">
        <f t="shared" si="6"/>
        <v>2.0124824921938581E-5</v>
      </c>
      <c r="K43" s="20">
        <v>430.19306930693068</v>
      </c>
      <c r="L43" s="27">
        <f t="shared" si="7"/>
        <v>4.3019306930693068E-4</v>
      </c>
      <c r="M43" s="29">
        <f t="shared" si="8"/>
        <v>4.7762865441819992E-3</v>
      </c>
      <c r="N43" s="27">
        <f t="shared" si="9"/>
        <v>1.8126132346433767E-6</v>
      </c>
      <c r="O43" s="21">
        <f t="shared" si="10"/>
        <v>2.032E-3</v>
      </c>
      <c r="P43" s="21">
        <v>1.0571269522665299E-10</v>
      </c>
      <c r="Q43" s="2">
        <v>0.32</v>
      </c>
      <c r="R43" s="27">
        <f t="shared" si="11"/>
        <v>132000</v>
      </c>
      <c r="S43" s="2">
        <f t="shared" si="12"/>
        <v>5.2493374855265302E-3</v>
      </c>
      <c r="T43" s="11">
        <v>0.11</v>
      </c>
      <c r="U43" s="30">
        <f t="shared" si="13"/>
        <v>111000.00000000001</v>
      </c>
      <c r="V43" s="30">
        <f t="shared" si="1"/>
        <v>47.75143069306931</v>
      </c>
      <c r="W43" s="11">
        <f t="shared" si="14"/>
        <v>1743.2404384749809</v>
      </c>
      <c r="X43" s="9">
        <f t="shared" si="15"/>
        <v>7.3048175245605465E-14</v>
      </c>
      <c r="Y43" s="9">
        <f t="shared" si="16"/>
        <v>43989611132.90361</v>
      </c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</row>
    <row r="44" spans="1:76" s="4" customFormat="1" x14ac:dyDescent="0.3">
      <c r="A44" s="26">
        <v>126</v>
      </c>
      <c r="B44" s="26">
        <f t="shared" si="2"/>
        <v>2.1</v>
      </c>
      <c r="C44" s="26">
        <v>20</v>
      </c>
      <c r="D44" s="26">
        <f t="shared" si="0"/>
        <v>29.146000000000001</v>
      </c>
      <c r="E44" s="26">
        <f t="shared" si="3"/>
        <v>4.8576666666666667E-7</v>
      </c>
      <c r="F44" s="26">
        <v>21.1</v>
      </c>
      <c r="G44" s="26">
        <f t="shared" si="4"/>
        <v>294.10000000000002</v>
      </c>
      <c r="H44" s="26">
        <v>101.3</v>
      </c>
      <c r="I44" s="26">
        <f t="shared" si="5"/>
        <v>101300</v>
      </c>
      <c r="J44" s="26">
        <f t="shared" si="6"/>
        <v>2.0124824921938581E-5</v>
      </c>
      <c r="K44" s="20">
        <v>427.94059405940601</v>
      </c>
      <c r="L44" s="27">
        <f t="shared" si="7"/>
        <v>4.2794059405940602E-4</v>
      </c>
      <c r="M44" s="29">
        <f t="shared" si="8"/>
        <v>4.7762865441819992E-3</v>
      </c>
      <c r="N44" s="27">
        <f t="shared" si="9"/>
        <v>1.803122457744187E-6</v>
      </c>
      <c r="O44" s="21">
        <f t="shared" si="10"/>
        <v>2.032E-3</v>
      </c>
      <c r="P44" s="21">
        <v>1.0571269522665299E-10</v>
      </c>
      <c r="Q44" s="2">
        <v>0.32</v>
      </c>
      <c r="R44" s="27">
        <f t="shared" si="11"/>
        <v>132000</v>
      </c>
      <c r="S44" s="2">
        <f t="shared" si="12"/>
        <v>5.2493374855265302E-3</v>
      </c>
      <c r="T44" s="11">
        <v>0.11</v>
      </c>
      <c r="U44" s="30">
        <f t="shared" si="13"/>
        <v>111000.00000000001</v>
      </c>
      <c r="V44" s="30">
        <f t="shared" si="1"/>
        <v>47.501405940594076</v>
      </c>
      <c r="W44" s="11">
        <f t="shared" si="14"/>
        <v>1726.5342534105682</v>
      </c>
      <c r="X44" s="9">
        <f t="shared" si="15"/>
        <v>7.2656379057598589E-14</v>
      </c>
      <c r="Y44" s="9">
        <f t="shared" si="16"/>
        <v>43753671468.48587</v>
      </c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</row>
    <row r="45" spans="1:76" s="4" customFormat="1" x14ac:dyDescent="0.3">
      <c r="A45" s="26">
        <v>129</v>
      </c>
      <c r="B45" s="26">
        <f t="shared" si="2"/>
        <v>2.15</v>
      </c>
      <c r="C45" s="26">
        <v>20</v>
      </c>
      <c r="D45" s="26">
        <f t="shared" si="0"/>
        <v>29.146000000000001</v>
      </c>
      <c r="E45" s="26">
        <f t="shared" si="3"/>
        <v>4.8576666666666667E-7</v>
      </c>
      <c r="F45" s="26">
        <v>21.1</v>
      </c>
      <c r="G45" s="26">
        <f t="shared" si="4"/>
        <v>294.10000000000002</v>
      </c>
      <c r="H45" s="26">
        <v>101.3</v>
      </c>
      <c r="I45" s="26">
        <f t="shared" si="5"/>
        <v>101300</v>
      </c>
      <c r="J45" s="26">
        <f t="shared" si="6"/>
        <v>2.0124824921938581E-5</v>
      </c>
      <c r="K45" s="20">
        <v>421.72772277227727</v>
      </c>
      <c r="L45" s="27">
        <f t="shared" si="7"/>
        <v>4.217277227722773E-4</v>
      </c>
      <c r="M45" s="29">
        <f t="shared" si="8"/>
        <v>4.7762865441819992E-3</v>
      </c>
      <c r="N45" s="27">
        <f t="shared" si="9"/>
        <v>1.776944600582684E-6</v>
      </c>
      <c r="O45" s="21">
        <f t="shared" si="10"/>
        <v>2.032E-3</v>
      </c>
      <c r="P45" s="21">
        <v>1.0571269522665299E-10</v>
      </c>
      <c r="Q45" s="2">
        <v>0.32</v>
      </c>
      <c r="R45" s="27">
        <f t="shared" si="11"/>
        <v>132000</v>
      </c>
      <c r="S45" s="2">
        <f t="shared" si="12"/>
        <v>5.2493374855265302E-3</v>
      </c>
      <c r="T45" s="11">
        <v>0.11</v>
      </c>
      <c r="U45" s="30">
        <f t="shared" si="13"/>
        <v>111000.00000000001</v>
      </c>
      <c r="V45" s="30">
        <f t="shared" si="1"/>
        <v>46.811777227722786</v>
      </c>
      <c r="W45" s="11">
        <f t="shared" si="14"/>
        <v>1680.8510842265657</v>
      </c>
      <c r="X45" s="9">
        <f t="shared" si="15"/>
        <v>7.157644888834633E-14</v>
      </c>
      <c r="Y45" s="9">
        <f t="shared" si="16"/>
        <v>43103337520.562164</v>
      </c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</row>
    <row r="46" spans="1:76" s="4" customFormat="1" x14ac:dyDescent="0.3">
      <c r="A46" s="26">
        <v>132</v>
      </c>
      <c r="B46" s="26">
        <f t="shared" si="2"/>
        <v>2.2000000000000002</v>
      </c>
      <c r="C46" s="26">
        <v>20</v>
      </c>
      <c r="D46" s="26">
        <f t="shared" si="0"/>
        <v>29.146000000000001</v>
      </c>
      <c r="E46" s="26">
        <f t="shared" si="3"/>
        <v>4.8576666666666667E-7</v>
      </c>
      <c r="F46" s="26">
        <v>21.1</v>
      </c>
      <c r="G46" s="26">
        <f t="shared" si="4"/>
        <v>294.10000000000002</v>
      </c>
      <c r="H46" s="26">
        <v>101.3</v>
      </c>
      <c r="I46" s="26">
        <f t="shared" si="5"/>
        <v>101300</v>
      </c>
      <c r="J46" s="26">
        <f t="shared" si="6"/>
        <v>2.0124824921938581E-5</v>
      </c>
      <c r="K46" s="20">
        <v>423.70792079207922</v>
      </c>
      <c r="L46" s="27">
        <f t="shared" si="7"/>
        <v>4.237079207920792E-4</v>
      </c>
      <c r="M46" s="29">
        <f t="shared" si="8"/>
        <v>4.7762865441819992E-3</v>
      </c>
      <c r="N46" s="27">
        <f t="shared" si="9"/>
        <v>1.7852881407138402E-6</v>
      </c>
      <c r="O46" s="21">
        <f t="shared" si="10"/>
        <v>2.032E-3</v>
      </c>
      <c r="P46" s="21">
        <v>1.0571269522665299E-10</v>
      </c>
      <c r="Q46" s="2">
        <v>0.32</v>
      </c>
      <c r="R46" s="27">
        <f t="shared" si="11"/>
        <v>132000</v>
      </c>
      <c r="S46" s="2">
        <f t="shared" si="12"/>
        <v>5.2493374855265302E-3</v>
      </c>
      <c r="T46" s="11">
        <v>0.11</v>
      </c>
      <c r="U46" s="30">
        <f t="shared" si="13"/>
        <v>111000.00000000001</v>
      </c>
      <c r="V46" s="30">
        <f t="shared" si="1"/>
        <v>47.031579207920799</v>
      </c>
      <c r="W46" s="11">
        <f t="shared" si="14"/>
        <v>1695.3482442887469</v>
      </c>
      <c r="X46" s="9">
        <f t="shared" si="15"/>
        <v>7.1920532638270668E-14</v>
      </c>
      <c r="Y46" s="9">
        <f t="shared" si="16"/>
        <v>43310544754.766602</v>
      </c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</row>
    <row r="47" spans="1:76" s="4" customFormat="1" x14ac:dyDescent="0.3">
      <c r="A47" s="26">
        <v>135</v>
      </c>
      <c r="B47" s="26">
        <f t="shared" si="2"/>
        <v>2.25</v>
      </c>
      <c r="C47" s="26">
        <v>20</v>
      </c>
      <c r="D47" s="26">
        <f t="shared" si="0"/>
        <v>29.146000000000001</v>
      </c>
      <c r="E47" s="26">
        <f t="shared" si="3"/>
        <v>4.8576666666666667E-7</v>
      </c>
      <c r="F47" s="26">
        <v>21.1</v>
      </c>
      <c r="G47" s="26">
        <f t="shared" si="4"/>
        <v>294.10000000000002</v>
      </c>
      <c r="H47" s="26">
        <v>101.3</v>
      </c>
      <c r="I47" s="26">
        <f t="shared" si="5"/>
        <v>101300</v>
      </c>
      <c r="J47" s="26">
        <f t="shared" si="6"/>
        <v>2.0124824921938581E-5</v>
      </c>
      <c r="K47" s="20">
        <v>427.24752475247527</v>
      </c>
      <c r="L47" s="27">
        <f t="shared" si="7"/>
        <v>4.2724752475247526E-4</v>
      </c>
      <c r="M47" s="29">
        <f t="shared" si="8"/>
        <v>4.7762865441819992E-3</v>
      </c>
      <c r="N47" s="27">
        <f t="shared" si="9"/>
        <v>1.800202218698282E-6</v>
      </c>
      <c r="O47" s="21">
        <f t="shared" si="10"/>
        <v>2.032E-3</v>
      </c>
      <c r="P47" s="21">
        <v>1.0571269522665299E-10</v>
      </c>
      <c r="Q47" s="2">
        <v>0.32</v>
      </c>
      <c r="R47" s="27">
        <f t="shared" si="11"/>
        <v>132000</v>
      </c>
      <c r="S47" s="2">
        <f t="shared" si="12"/>
        <v>5.2493374855265302E-3</v>
      </c>
      <c r="T47" s="11">
        <v>0.11</v>
      </c>
      <c r="U47" s="30">
        <f t="shared" si="13"/>
        <v>111000.00000000001</v>
      </c>
      <c r="V47" s="30">
        <f t="shared" si="1"/>
        <v>47.424475247524761</v>
      </c>
      <c r="W47" s="11">
        <f t="shared" si="14"/>
        <v>1721.4092758993736</v>
      </c>
      <c r="X47" s="9">
        <f t="shared" si="15"/>
        <v>7.2535855167128091E-14</v>
      </c>
      <c r="Y47" s="9">
        <f t="shared" si="16"/>
        <v>43681091981.644539</v>
      </c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</row>
    <row r="48" spans="1:76" s="4" customFormat="1" x14ac:dyDescent="0.3">
      <c r="A48" s="26">
        <v>138</v>
      </c>
      <c r="B48" s="26">
        <f t="shared" si="2"/>
        <v>2.2999999999999998</v>
      </c>
      <c r="C48" s="26">
        <v>20</v>
      </c>
      <c r="D48" s="26">
        <f t="shared" si="0"/>
        <v>29.146000000000001</v>
      </c>
      <c r="E48" s="26">
        <f t="shared" si="3"/>
        <v>4.8576666666666667E-7</v>
      </c>
      <c r="F48" s="26">
        <v>21.1</v>
      </c>
      <c r="G48" s="26">
        <f t="shared" si="4"/>
        <v>294.10000000000002</v>
      </c>
      <c r="H48" s="26">
        <v>101.3</v>
      </c>
      <c r="I48" s="26">
        <f t="shared" si="5"/>
        <v>101300</v>
      </c>
      <c r="J48" s="26">
        <f t="shared" si="6"/>
        <v>2.0124824921938581E-5</v>
      </c>
      <c r="K48" s="20">
        <v>430.58910891089113</v>
      </c>
      <c r="L48" s="27">
        <f t="shared" si="7"/>
        <v>4.3058910891089115E-4</v>
      </c>
      <c r="M48" s="29">
        <f t="shared" si="8"/>
        <v>4.7762865441819992E-3</v>
      </c>
      <c r="N48" s="27">
        <f t="shared" si="9"/>
        <v>1.8142819426696086E-6</v>
      </c>
      <c r="O48" s="21">
        <f t="shared" si="10"/>
        <v>2.032E-3</v>
      </c>
      <c r="P48" s="21">
        <v>1.0571269522665299E-10</v>
      </c>
      <c r="Q48" s="2">
        <v>0.32</v>
      </c>
      <c r="R48" s="27">
        <f t="shared" si="11"/>
        <v>132000</v>
      </c>
      <c r="S48" s="2">
        <f t="shared" si="12"/>
        <v>5.2493374855265302E-3</v>
      </c>
      <c r="T48" s="11">
        <v>0.11</v>
      </c>
      <c r="U48" s="30">
        <f t="shared" si="13"/>
        <v>111000.00000000001</v>
      </c>
      <c r="V48" s="30">
        <f t="shared" si="1"/>
        <v>47.795391089108925</v>
      </c>
      <c r="W48" s="11">
        <f t="shared" si="14"/>
        <v>1746.1856943538378</v>
      </c>
      <c r="X48" s="9">
        <f t="shared" si="15"/>
        <v>7.3117077313540464E-14</v>
      </c>
      <c r="Y48" s="9">
        <f t="shared" si="16"/>
        <v>44031103958.214066</v>
      </c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</row>
    <row r="49" spans="1:76" s="4" customFormat="1" x14ac:dyDescent="0.3">
      <c r="A49" s="26">
        <v>141</v>
      </c>
      <c r="B49" s="26">
        <f t="shared" si="2"/>
        <v>2.35</v>
      </c>
      <c r="C49" s="26">
        <v>20</v>
      </c>
      <c r="D49" s="26">
        <f t="shared" si="0"/>
        <v>29.146000000000001</v>
      </c>
      <c r="E49" s="26">
        <f t="shared" si="3"/>
        <v>4.8576666666666667E-7</v>
      </c>
      <c r="F49" s="26">
        <v>21.1</v>
      </c>
      <c r="G49" s="26">
        <f t="shared" si="4"/>
        <v>294.10000000000002</v>
      </c>
      <c r="H49" s="26">
        <v>101.3</v>
      </c>
      <c r="I49" s="26">
        <f t="shared" si="5"/>
        <v>101300</v>
      </c>
      <c r="J49" s="26">
        <f t="shared" si="6"/>
        <v>2.0124824921938581E-5</v>
      </c>
      <c r="K49" s="20">
        <v>421.65346534653469</v>
      </c>
      <c r="L49" s="27">
        <f t="shared" si="7"/>
        <v>4.2165346534653471E-4</v>
      </c>
      <c r="M49" s="29">
        <f t="shared" si="8"/>
        <v>4.7762865441819992E-3</v>
      </c>
      <c r="N49" s="27">
        <f t="shared" si="9"/>
        <v>1.7766317178277659E-6</v>
      </c>
      <c r="O49" s="21">
        <f t="shared" si="10"/>
        <v>2.032E-3</v>
      </c>
      <c r="P49" s="21">
        <v>1.0571269522665299E-10</v>
      </c>
      <c r="Q49" s="2">
        <v>0.32</v>
      </c>
      <c r="R49" s="27">
        <f t="shared" si="11"/>
        <v>132000</v>
      </c>
      <c r="S49" s="2">
        <f t="shared" si="12"/>
        <v>5.2493374855265302E-3</v>
      </c>
      <c r="T49" s="11">
        <v>0.11</v>
      </c>
      <c r="U49" s="30">
        <f t="shared" si="13"/>
        <v>111000.00000000001</v>
      </c>
      <c r="V49" s="30">
        <f t="shared" si="1"/>
        <v>46.803534653465363</v>
      </c>
      <c r="W49" s="11">
        <f t="shared" si="14"/>
        <v>1680.3085916750765</v>
      </c>
      <c r="X49" s="9">
        <f t="shared" si="15"/>
        <v>7.1563547868967129E-14</v>
      </c>
      <c r="Y49" s="9">
        <f t="shared" si="16"/>
        <v>43095568526.692009</v>
      </c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</row>
    <row r="50" spans="1:76" s="4" customFormat="1" x14ac:dyDescent="0.3">
      <c r="A50" s="26">
        <v>144</v>
      </c>
      <c r="B50" s="26">
        <f t="shared" si="2"/>
        <v>2.4</v>
      </c>
      <c r="C50" s="26">
        <v>20</v>
      </c>
      <c r="D50" s="26">
        <f t="shared" si="0"/>
        <v>29.146000000000001</v>
      </c>
      <c r="E50" s="26">
        <f t="shared" si="3"/>
        <v>4.8576666666666667E-7</v>
      </c>
      <c r="F50" s="26">
        <v>21.1</v>
      </c>
      <c r="G50" s="26">
        <f t="shared" si="4"/>
        <v>294.10000000000002</v>
      </c>
      <c r="H50" s="26">
        <v>101.3</v>
      </c>
      <c r="I50" s="26">
        <f t="shared" si="5"/>
        <v>101300</v>
      </c>
      <c r="J50" s="26">
        <f t="shared" si="6"/>
        <v>2.0124824921938581E-5</v>
      </c>
      <c r="K50" s="20">
        <v>428.38613861386136</v>
      </c>
      <c r="L50" s="27">
        <f t="shared" si="7"/>
        <v>4.2838613861386138E-4</v>
      </c>
      <c r="M50" s="29">
        <f t="shared" si="8"/>
        <v>4.7762865441819992E-3</v>
      </c>
      <c r="N50" s="27">
        <f t="shared" si="9"/>
        <v>1.8049997542736969E-6</v>
      </c>
      <c r="O50" s="21">
        <f t="shared" si="10"/>
        <v>2.032E-3</v>
      </c>
      <c r="P50" s="21">
        <v>1.0571269522665299E-10</v>
      </c>
      <c r="Q50" s="2">
        <v>0.32</v>
      </c>
      <c r="R50" s="27">
        <f t="shared" si="11"/>
        <v>132000</v>
      </c>
      <c r="S50" s="2">
        <f t="shared" si="12"/>
        <v>5.2493374855265302E-3</v>
      </c>
      <c r="T50" s="11">
        <v>0.11</v>
      </c>
      <c r="U50" s="30">
        <f t="shared" si="13"/>
        <v>111000.00000000001</v>
      </c>
      <c r="V50" s="30">
        <f t="shared" si="1"/>
        <v>47.550861386138621</v>
      </c>
      <c r="W50" s="11">
        <f t="shared" si="14"/>
        <v>1729.8327058503457</v>
      </c>
      <c r="X50" s="9">
        <f t="shared" si="15"/>
        <v>7.2733865844207072E-14</v>
      </c>
      <c r="Y50" s="9">
        <f t="shared" si="16"/>
        <v>43800334011.3815</v>
      </c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</row>
    <row r="51" spans="1:76" s="4" customFormat="1" x14ac:dyDescent="0.3">
      <c r="A51" s="26">
        <v>147</v>
      </c>
      <c r="B51" s="26">
        <f t="shared" si="2"/>
        <v>2.4500000000000002</v>
      </c>
      <c r="C51" s="26">
        <v>20</v>
      </c>
      <c r="D51" s="26">
        <f t="shared" si="0"/>
        <v>29.146000000000001</v>
      </c>
      <c r="E51" s="26">
        <f t="shared" si="3"/>
        <v>4.8576666666666667E-7</v>
      </c>
      <c r="F51" s="26">
        <v>21.1</v>
      </c>
      <c r="G51" s="26">
        <f t="shared" si="4"/>
        <v>294.10000000000002</v>
      </c>
      <c r="H51" s="26">
        <v>101.3</v>
      </c>
      <c r="I51" s="26">
        <f t="shared" si="5"/>
        <v>101300</v>
      </c>
      <c r="J51" s="26">
        <f t="shared" si="6"/>
        <v>2.0124824921938581E-5</v>
      </c>
      <c r="K51" s="20">
        <v>409.07920792079216</v>
      </c>
      <c r="L51" s="27">
        <f t="shared" si="7"/>
        <v>4.0907920792079215E-4</v>
      </c>
      <c r="M51" s="29">
        <f t="shared" si="8"/>
        <v>4.7762865441819992E-3</v>
      </c>
      <c r="N51" s="27">
        <f t="shared" si="9"/>
        <v>1.7236502379949233E-6</v>
      </c>
      <c r="O51" s="21">
        <f t="shared" si="10"/>
        <v>2.032E-3</v>
      </c>
      <c r="P51" s="21">
        <v>1.0571269522665299E-10</v>
      </c>
      <c r="Q51" s="2">
        <v>0.32</v>
      </c>
      <c r="R51" s="27">
        <f t="shared" si="11"/>
        <v>132000</v>
      </c>
      <c r="S51" s="2">
        <f t="shared" si="12"/>
        <v>5.2493374855265302E-3</v>
      </c>
      <c r="T51" s="11">
        <v>0.11</v>
      </c>
      <c r="U51" s="30">
        <f t="shared" si="13"/>
        <v>111000.00000000001</v>
      </c>
      <c r="V51" s="30">
        <f t="shared" si="1"/>
        <v>45.407792079207937</v>
      </c>
      <c r="W51" s="11">
        <f t="shared" si="14"/>
        <v>1589.6473262180314</v>
      </c>
      <c r="X51" s="9">
        <f t="shared" si="15"/>
        <v>6.9381162006952486E-14</v>
      </c>
      <c r="Y51" s="9">
        <f t="shared" si="16"/>
        <v>41781335760.586792</v>
      </c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</row>
    <row r="52" spans="1:76" s="4" customFormat="1" x14ac:dyDescent="0.3">
      <c r="A52" s="26">
        <v>150</v>
      </c>
      <c r="B52" s="26">
        <f t="shared" si="2"/>
        <v>2.5</v>
      </c>
      <c r="C52" s="26">
        <v>20</v>
      </c>
      <c r="D52" s="26">
        <f t="shared" si="0"/>
        <v>29.146000000000001</v>
      </c>
      <c r="E52" s="26">
        <f t="shared" si="3"/>
        <v>4.8576666666666667E-7</v>
      </c>
      <c r="F52" s="26">
        <v>21.1</v>
      </c>
      <c r="G52" s="26">
        <f t="shared" si="4"/>
        <v>294.10000000000002</v>
      </c>
      <c r="H52" s="26">
        <v>101.3</v>
      </c>
      <c r="I52" s="26">
        <f t="shared" si="5"/>
        <v>101300</v>
      </c>
      <c r="J52" s="26">
        <f t="shared" si="6"/>
        <v>2.0124824921938581E-5</v>
      </c>
      <c r="K52" s="20">
        <v>416.60396039603961</v>
      </c>
      <c r="L52" s="27">
        <f t="shared" si="7"/>
        <v>4.1660396039603959E-4</v>
      </c>
      <c r="M52" s="29">
        <f t="shared" si="8"/>
        <v>4.7762865441819992E-3</v>
      </c>
      <c r="N52" s="27">
        <f t="shared" si="9"/>
        <v>1.7553556904933168E-6</v>
      </c>
      <c r="O52" s="21">
        <f t="shared" si="10"/>
        <v>2.032E-3</v>
      </c>
      <c r="P52" s="21">
        <v>1.0571269522665299E-10</v>
      </c>
      <c r="Q52" s="2">
        <v>0.32</v>
      </c>
      <c r="R52" s="27">
        <f t="shared" si="11"/>
        <v>132000</v>
      </c>
      <c r="S52" s="2">
        <f t="shared" si="12"/>
        <v>5.2493374855265302E-3</v>
      </c>
      <c r="T52" s="11">
        <v>0.11</v>
      </c>
      <c r="U52" s="30">
        <f t="shared" si="13"/>
        <v>111000.00000000001</v>
      </c>
      <c r="V52" s="30">
        <f t="shared" si="1"/>
        <v>46.243039603960398</v>
      </c>
      <c r="W52" s="11">
        <f t="shared" si="14"/>
        <v>1643.6143601308552</v>
      </c>
      <c r="X52" s="9">
        <f t="shared" si="15"/>
        <v>7.0686636341661943E-14</v>
      </c>
      <c r="Y52" s="9">
        <f t="shared" si="16"/>
        <v>42567492404.948822</v>
      </c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</row>
    <row r="53" spans="1:76" s="4" customFormat="1" x14ac:dyDescent="0.3">
      <c r="A53" s="26">
        <v>153</v>
      </c>
      <c r="B53" s="26">
        <f t="shared" si="2"/>
        <v>2.5499999999999998</v>
      </c>
      <c r="C53" s="26">
        <v>20</v>
      </c>
      <c r="D53" s="26">
        <f t="shared" si="0"/>
        <v>29.146000000000001</v>
      </c>
      <c r="E53" s="26">
        <f t="shared" si="3"/>
        <v>4.8576666666666667E-7</v>
      </c>
      <c r="F53" s="26">
        <v>21.1</v>
      </c>
      <c r="G53" s="26">
        <f t="shared" si="4"/>
        <v>294.10000000000002</v>
      </c>
      <c r="H53" s="26">
        <v>101.3</v>
      </c>
      <c r="I53" s="26">
        <f t="shared" si="5"/>
        <v>101300</v>
      </c>
      <c r="J53" s="26">
        <f t="shared" si="6"/>
        <v>2.0124824921938581E-5</v>
      </c>
      <c r="K53" s="20">
        <v>410.86138613861391</v>
      </c>
      <c r="L53" s="27">
        <f t="shared" si="7"/>
        <v>4.1086138613861392E-4</v>
      </c>
      <c r="M53" s="29">
        <f t="shared" si="8"/>
        <v>4.7762865441819992E-3</v>
      </c>
      <c r="N53" s="27">
        <f t="shared" si="9"/>
        <v>1.7311594241129639E-6</v>
      </c>
      <c r="O53" s="21">
        <f t="shared" si="10"/>
        <v>2.032E-3</v>
      </c>
      <c r="P53" s="21">
        <v>1.0571269522665299E-10</v>
      </c>
      <c r="Q53" s="2">
        <v>0.32</v>
      </c>
      <c r="R53" s="27">
        <f t="shared" si="11"/>
        <v>132000</v>
      </c>
      <c r="S53" s="2">
        <f t="shared" si="12"/>
        <v>5.2493374855265302E-3</v>
      </c>
      <c r="T53" s="11">
        <v>0.11</v>
      </c>
      <c r="U53" s="30">
        <f t="shared" si="13"/>
        <v>111000.00000000001</v>
      </c>
      <c r="V53" s="30">
        <f t="shared" si="1"/>
        <v>45.605613861386153</v>
      </c>
      <c r="W53" s="11">
        <f t="shared" si="14"/>
        <v>1602.3516576048376</v>
      </c>
      <c r="X53" s="9">
        <f t="shared" si="15"/>
        <v>6.969021430936477E-14</v>
      </c>
      <c r="Y53" s="9">
        <f t="shared" si="16"/>
        <v>41967447057.099464</v>
      </c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</row>
    <row r="54" spans="1:76" s="4" customFormat="1" x14ac:dyDescent="0.3">
      <c r="A54" s="26">
        <v>156</v>
      </c>
      <c r="B54" s="26">
        <f t="shared" si="2"/>
        <v>2.6</v>
      </c>
      <c r="C54" s="26">
        <v>20</v>
      </c>
      <c r="D54" s="26">
        <f t="shared" si="0"/>
        <v>29.146000000000001</v>
      </c>
      <c r="E54" s="26">
        <f t="shared" si="3"/>
        <v>4.8576666666666667E-7</v>
      </c>
      <c r="F54" s="26">
        <v>21.1</v>
      </c>
      <c r="G54" s="26">
        <f t="shared" si="4"/>
        <v>294.10000000000002</v>
      </c>
      <c r="H54" s="26">
        <v>101.3</v>
      </c>
      <c r="I54" s="26">
        <f t="shared" si="5"/>
        <v>101300</v>
      </c>
      <c r="J54" s="26">
        <f t="shared" si="6"/>
        <v>2.0124824921938581E-5</v>
      </c>
      <c r="K54" s="20">
        <v>411.60396039603967</v>
      </c>
      <c r="L54" s="27">
        <f t="shared" si="7"/>
        <v>4.1160396039603968E-4</v>
      </c>
      <c r="M54" s="29">
        <f t="shared" si="8"/>
        <v>4.7762865441819992E-3</v>
      </c>
      <c r="N54" s="27">
        <f t="shared" si="9"/>
        <v>1.7342882516621474E-6</v>
      </c>
      <c r="O54" s="21">
        <f t="shared" si="10"/>
        <v>2.032E-3</v>
      </c>
      <c r="P54" s="21">
        <v>1.0571269522665299E-10</v>
      </c>
      <c r="Q54" s="2">
        <v>0.32</v>
      </c>
      <c r="R54" s="27">
        <f t="shared" si="11"/>
        <v>132000</v>
      </c>
      <c r="S54" s="2">
        <f t="shared" si="12"/>
        <v>5.2493374855265302E-3</v>
      </c>
      <c r="T54" s="11">
        <v>0.11</v>
      </c>
      <c r="U54" s="30">
        <f t="shared" si="13"/>
        <v>111000.00000000001</v>
      </c>
      <c r="V54" s="30">
        <f t="shared" si="1"/>
        <v>45.688039603960412</v>
      </c>
      <c r="W54" s="11">
        <f t="shared" si="14"/>
        <v>1607.6592996841387</v>
      </c>
      <c r="X54" s="9">
        <f t="shared" si="15"/>
        <v>6.9819011463886747E-14</v>
      </c>
      <c r="Y54" s="9">
        <f t="shared" si="16"/>
        <v>42045008703.552597</v>
      </c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</row>
    <row r="55" spans="1:76" s="4" customFormat="1" x14ac:dyDescent="0.3">
      <c r="A55" s="26">
        <v>159</v>
      </c>
      <c r="B55" s="26">
        <f t="shared" si="2"/>
        <v>2.65</v>
      </c>
      <c r="C55" s="26">
        <v>20</v>
      </c>
      <c r="D55" s="26">
        <f t="shared" si="0"/>
        <v>29.146000000000001</v>
      </c>
      <c r="E55" s="26">
        <f t="shared" si="3"/>
        <v>4.8576666666666667E-7</v>
      </c>
      <c r="F55" s="26">
        <v>21.1</v>
      </c>
      <c r="G55" s="26">
        <f t="shared" si="4"/>
        <v>294.10000000000002</v>
      </c>
      <c r="H55" s="26">
        <v>101.3</v>
      </c>
      <c r="I55" s="26">
        <f t="shared" si="5"/>
        <v>101300</v>
      </c>
      <c r="J55" s="26">
        <f t="shared" si="6"/>
        <v>2.0124824921938581E-5</v>
      </c>
      <c r="K55" s="20">
        <v>411.70297029702971</v>
      </c>
      <c r="L55" s="27">
        <f t="shared" si="7"/>
        <v>4.1170297029702969E-4</v>
      </c>
      <c r="M55" s="29">
        <f t="shared" si="8"/>
        <v>4.7762865441819992E-3</v>
      </c>
      <c r="N55" s="27">
        <f t="shared" si="9"/>
        <v>1.7347054286687051E-6</v>
      </c>
      <c r="O55" s="21">
        <f t="shared" si="10"/>
        <v>2.032E-3</v>
      </c>
      <c r="P55" s="21">
        <v>1.0571269522665299E-10</v>
      </c>
      <c r="Q55" s="2">
        <v>0.32</v>
      </c>
      <c r="R55" s="27">
        <f t="shared" si="11"/>
        <v>132000</v>
      </c>
      <c r="S55" s="2">
        <f t="shared" si="12"/>
        <v>5.2493374855265302E-3</v>
      </c>
      <c r="T55" s="11">
        <v>0.11</v>
      </c>
      <c r="U55" s="30">
        <f t="shared" si="13"/>
        <v>111000.00000000001</v>
      </c>
      <c r="V55" s="30">
        <f t="shared" si="1"/>
        <v>45.6990297029703</v>
      </c>
      <c r="W55" s="11">
        <f t="shared" si="14"/>
        <v>1608.3676150136225</v>
      </c>
      <c r="X55" s="9">
        <f t="shared" si="15"/>
        <v>6.9836185547328844E-14</v>
      </c>
      <c r="Y55" s="9">
        <f t="shared" si="16"/>
        <v>42055350936.601433</v>
      </c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</row>
    <row r="56" spans="1:76" s="4" customFormat="1" x14ac:dyDescent="0.3">
      <c r="A56" s="26">
        <v>162</v>
      </c>
      <c r="B56" s="26">
        <f t="shared" si="2"/>
        <v>2.7</v>
      </c>
      <c r="C56" s="26">
        <v>20</v>
      </c>
      <c r="D56" s="26">
        <f t="shared" si="0"/>
        <v>29.146000000000001</v>
      </c>
      <c r="E56" s="26">
        <f t="shared" si="3"/>
        <v>4.8576666666666667E-7</v>
      </c>
      <c r="F56" s="26">
        <v>21.1</v>
      </c>
      <c r="G56" s="26">
        <f t="shared" si="4"/>
        <v>294.10000000000002</v>
      </c>
      <c r="H56" s="26">
        <v>101.3</v>
      </c>
      <c r="I56" s="26">
        <f t="shared" si="5"/>
        <v>101300</v>
      </c>
      <c r="J56" s="26">
        <f t="shared" si="6"/>
        <v>2.0124824921938581E-5</v>
      </c>
      <c r="K56" s="20">
        <v>417.39603960396039</v>
      </c>
      <c r="L56" s="27">
        <f t="shared" si="7"/>
        <v>4.1739603960396041E-4</v>
      </c>
      <c r="M56" s="29">
        <f t="shared" si="8"/>
        <v>4.7762865441819992E-3</v>
      </c>
      <c r="N56" s="27">
        <f t="shared" si="9"/>
        <v>1.7586931065457795E-6</v>
      </c>
      <c r="O56" s="21">
        <f t="shared" si="10"/>
        <v>2.032E-3</v>
      </c>
      <c r="P56" s="21">
        <v>1.0571269522665299E-10</v>
      </c>
      <c r="Q56" s="2">
        <v>0.32</v>
      </c>
      <c r="R56" s="27">
        <f t="shared" si="11"/>
        <v>132000</v>
      </c>
      <c r="S56" s="2">
        <f t="shared" si="12"/>
        <v>5.2493374855265302E-3</v>
      </c>
      <c r="T56" s="11">
        <v>0.11</v>
      </c>
      <c r="U56" s="30">
        <f t="shared" si="13"/>
        <v>111000.00000000001</v>
      </c>
      <c r="V56" s="30">
        <f t="shared" si="1"/>
        <v>46.330960396039615</v>
      </c>
      <c r="W56" s="11">
        <f t="shared" si="14"/>
        <v>1649.3448618276013</v>
      </c>
      <c r="X56" s="9">
        <f t="shared" si="15"/>
        <v>7.0824144611639447E-14</v>
      </c>
      <c r="Y56" s="9">
        <f t="shared" si="16"/>
        <v>42650299885.12928</v>
      </c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</row>
    <row r="57" spans="1:76" s="4" customFormat="1" x14ac:dyDescent="0.3">
      <c r="A57" s="26">
        <v>165</v>
      </c>
      <c r="B57" s="26">
        <f t="shared" si="2"/>
        <v>2.75</v>
      </c>
      <c r="C57" s="26">
        <v>20</v>
      </c>
      <c r="D57" s="26">
        <f t="shared" si="0"/>
        <v>29.146000000000001</v>
      </c>
      <c r="E57" s="26">
        <f t="shared" si="3"/>
        <v>4.8576666666666667E-7</v>
      </c>
      <c r="F57" s="26">
        <v>21.1</v>
      </c>
      <c r="G57" s="26">
        <f t="shared" si="4"/>
        <v>294.10000000000002</v>
      </c>
      <c r="H57" s="26">
        <v>101.3</v>
      </c>
      <c r="I57" s="26">
        <f t="shared" si="5"/>
        <v>101300</v>
      </c>
      <c r="J57" s="26">
        <f t="shared" si="6"/>
        <v>2.0124824921938581E-5</v>
      </c>
      <c r="K57" s="20">
        <v>412.09900990099015</v>
      </c>
      <c r="L57" s="27">
        <f t="shared" si="7"/>
        <v>4.1209900990099016E-4</v>
      </c>
      <c r="M57" s="29">
        <f t="shared" si="8"/>
        <v>4.7762865441819992E-3</v>
      </c>
      <c r="N57" s="27">
        <f t="shared" si="9"/>
        <v>1.7363741366949363E-6</v>
      </c>
      <c r="O57" s="21">
        <f t="shared" si="10"/>
        <v>2.032E-3</v>
      </c>
      <c r="P57" s="21">
        <v>1.0571269522665299E-10</v>
      </c>
      <c r="Q57" s="2">
        <v>0.32</v>
      </c>
      <c r="R57" s="27">
        <f t="shared" si="11"/>
        <v>132000</v>
      </c>
      <c r="S57" s="2">
        <f t="shared" si="12"/>
        <v>5.2493374855265302E-3</v>
      </c>
      <c r="T57" s="11">
        <v>0.11</v>
      </c>
      <c r="U57" s="30">
        <f t="shared" si="13"/>
        <v>111000.00000000001</v>
      </c>
      <c r="V57" s="30">
        <f t="shared" si="1"/>
        <v>45.742990099009916</v>
      </c>
      <c r="W57" s="11">
        <f t="shared" si="14"/>
        <v>1611.2023579250906</v>
      </c>
      <c r="X57" s="9">
        <f t="shared" si="15"/>
        <v>6.9904884541325468E-14</v>
      </c>
      <c r="Y57" s="9">
        <f t="shared" si="16"/>
        <v>42096721470.786201</v>
      </c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</row>
    <row r="58" spans="1:76" s="4" customFormat="1" x14ac:dyDescent="0.3">
      <c r="A58" s="26">
        <v>168</v>
      </c>
      <c r="B58" s="26">
        <f t="shared" si="2"/>
        <v>2.8</v>
      </c>
      <c r="C58" s="26">
        <v>20</v>
      </c>
      <c r="D58" s="26">
        <f t="shared" si="0"/>
        <v>29.146000000000001</v>
      </c>
      <c r="E58" s="26">
        <f t="shared" si="3"/>
        <v>4.8576666666666667E-7</v>
      </c>
      <c r="F58" s="26">
        <v>21.1</v>
      </c>
      <c r="G58" s="26">
        <f t="shared" si="4"/>
        <v>294.10000000000002</v>
      </c>
      <c r="H58" s="26">
        <v>101.3</v>
      </c>
      <c r="I58" s="26">
        <f t="shared" si="5"/>
        <v>101300</v>
      </c>
      <c r="J58" s="26">
        <f t="shared" si="6"/>
        <v>2.0124824921938581E-5</v>
      </c>
      <c r="K58" s="20">
        <v>401.95049504950498</v>
      </c>
      <c r="L58" s="27">
        <f t="shared" si="7"/>
        <v>4.0195049504950496E-4</v>
      </c>
      <c r="M58" s="29">
        <f t="shared" si="8"/>
        <v>4.7762865441819992E-3</v>
      </c>
      <c r="N58" s="27">
        <f t="shared" si="9"/>
        <v>1.6936134935227605E-6</v>
      </c>
      <c r="O58" s="21">
        <f t="shared" si="10"/>
        <v>2.032E-3</v>
      </c>
      <c r="P58" s="21">
        <v>1.0571269522665299E-10</v>
      </c>
      <c r="Q58" s="2">
        <v>0.32</v>
      </c>
      <c r="R58" s="27">
        <f t="shared" si="11"/>
        <v>132000</v>
      </c>
      <c r="S58" s="2">
        <f t="shared" si="12"/>
        <v>5.2493374855265302E-3</v>
      </c>
      <c r="T58" s="11">
        <v>0.11</v>
      </c>
      <c r="U58" s="30">
        <f t="shared" si="13"/>
        <v>111000.00000000001</v>
      </c>
      <c r="V58" s="30">
        <f t="shared" si="1"/>
        <v>44.616504950495056</v>
      </c>
      <c r="W58" s="11">
        <f t="shared" si="14"/>
        <v>1539.3103868912942</v>
      </c>
      <c r="X58" s="9">
        <f t="shared" si="15"/>
        <v>6.814580563622336E-14</v>
      </c>
      <c r="Y58" s="9">
        <f t="shared" si="16"/>
        <v>41037404154.133713</v>
      </c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</row>
    <row r="59" spans="1:76" s="4" customFormat="1" x14ac:dyDescent="0.3">
      <c r="A59" s="26">
        <v>171</v>
      </c>
      <c r="B59" s="26">
        <f t="shared" si="2"/>
        <v>2.85</v>
      </c>
      <c r="C59" s="26">
        <v>20</v>
      </c>
      <c r="D59" s="26">
        <f t="shared" si="0"/>
        <v>29.146000000000001</v>
      </c>
      <c r="E59" s="26">
        <f t="shared" si="3"/>
        <v>4.8576666666666667E-7</v>
      </c>
      <c r="F59" s="26">
        <v>21.1</v>
      </c>
      <c r="G59" s="26">
        <f t="shared" si="4"/>
        <v>294.10000000000002</v>
      </c>
      <c r="H59" s="26">
        <v>101.3</v>
      </c>
      <c r="I59" s="26">
        <f t="shared" si="5"/>
        <v>101300</v>
      </c>
      <c r="J59" s="26">
        <f t="shared" si="6"/>
        <v>2.0124824921938581E-5</v>
      </c>
      <c r="K59" s="20">
        <v>405.31683168316835</v>
      </c>
      <c r="L59" s="27">
        <f t="shared" si="7"/>
        <v>4.0531683168316837E-4</v>
      </c>
      <c r="M59" s="29">
        <f t="shared" si="8"/>
        <v>4.7762865441819992E-3</v>
      </c>
      <c r="N59" s="27">
        <f t="shared" si="9"/>
        <v>1.7077975117457263E-6</v>
      </c>
      <c r="O59" s="21">
        <f t="shared" si="10"/>
        <v>2.032E-3</v>
      </c>
      <c r="P59" s="21">
        <v>1.0571269522665299E-10</v>
      </c>
      <c r="Q59" s="2">
        <v>0.32</v>
      </c>
      <c r="R59" s="27">
        <f t="shared" si="11"/>
        <v>132000</v>
      </c>
      <c r="S59" s="2">
        <f t="shared" si="12"/>
        <v>5.2493374855265302E-3</v>
      </c>
      <c r="T59" s="11">
        <v>0.11</v>
      </c>
      <c r="U59" s="30">
        <f t="shared" si="13"/>
        <v>111000.00000000001</v>
      </c>
      <c r="V59" s="30">
        <f t="shared" si="1"/>
        <v>44.990168316831692</v>
      </c>
      <c r="W59" s="11">
        <f t="shared" si="14"/>
        <v>1562.9847986615341</v>
      </c>
      <c r="X59" s="9">
        <f t="shared" si="15"/>
        <v>6.8728999067158845E-14</v>
      </c>
      <c r="Y59" s="9">
        <f t="shared" si="16"/>
        <v>41388603238.243057</v>
      </c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</row>
    <row r="60" spans="1:76" s="4" customFormat="1" x14ac:dyDescent="0.3">
      <c r="A60" s="26">
        <v>174</v>
      </c>
      <c r="B60" s="26">
        <f t="shared" si="2"/>
        <v>2.9</v>
      </c>
      <c r="C60" s="26">
        <v>20</v>
      </c>
      <c r="D60" s="26">
        <f t="shared" si="0"/>
        <v>29.146000000000001</v>
      </c>
      <c r="E60" s="26">
        <f t="shared" si="3"/>
        <v>4.8576666666666667E-7</v>
      </c>
      <c r="F60" s="26">
        <v>21.1</v>
      </c>
      <c r="G60" s="26">
        <f t="shared" si="4"/>
        <v>294.10000000000002</v>
      </c>
      <c r="H60" s="26">
        <v>101.3</v>
      </c>
      <c r="I60" s="26">
        <f t="shared" si="5"/>
        <v>101300</v>
      </c>
      <c r="J60" s="26">
        <f t="shared" si="6"/>
        <v>2.0124824921938581E-5</v>
      </c>
      <c r="K60" s="20">
        <v>419.59900990099015</v>
      </c>
      <c r="L60" s="27">
        <f t="shared" si="7"/>
        <v>4.1959900990099018E-4</v>
      </c>
      <c r="M60" s="29">
        <f t="shared" si="8"/>
        <v>4.7762865441819992E-3</v>
      </c>
      <c r="N60" s="27">
        <f t="shared" si="9"/>
        <v>1.7679752949416912E-6</v>
      </c>
      <c r="O60" s="21">
        <f t="shared" si="10"/>
        <v>2.032E-3</v>
      </c>
      <c r="P60" s="21">
        <v>1.0571269522665299E-10</v>
      </c>
      <c r="Q60" s="2">
        <v>0.32</v>
      </c>
      <c r="R60" s="27">
        <f t="shared" si="11"/>
        <v>132000</v>
      </c>
      <c r="S60" s="2">
        <f t="shared" si="12"/>
        <v>5.2493374855265302E-3</v>
      </c>
      <c r="T60" s="11">
        <v>0.11</v>
      </c>
      <c r="U60" s="30">
        <f t="shared" si="13"/>
        <v>111000.00000000001</v>
      </c>
      <c r="V60" s="30">
        <f t="shared" si="1"/>
        <v>46.575490099009919</v>
      </c>
      <c r="W60" s="11">
        <f t="shared" si="14"/>
        <v>1665.3326320078859</v>
      </c>
      <c r="X60" s="9">
        <f t="shared" si="15"/>
        <v>7.1206680284215905E-14</v>
      </c>
      <c r="Y60" s="9">
        <f t="shared" si="16"/>
        <v>42880662867.154823</v>
      </c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</row>
    <row r="61" spans="1:76" s="4" customFormat="1" x14ac:dyDescent="0.3">
      <c r="A61" s="26">
        <v>177</v>
      </c>
      <c r="B61" s="26">
        <f t="shared" si="2"/>
        <v>2.95</v>
      </c>
      <c r="C61" s="26">
        <v>20</v>
      </c>
      <c r="D61" s="26">
        <f t="shared" si="0"/>
        <v>29.146000000000001</v>
      </c>
      <c r="E61" s="26">
        <f t="shared" si="3"/>
        <v>4.8576666666666667E-7</v>
      </c>
      <c r="F61" s="26">
        <v>21.1</v>
      </c>
      <c r="G61" s="26">
        <f t="shared" si="4"/>
        <v>294.10000000000002</v>
      </c>
      <c r="H61" s="26">
        <v>101.3</v>
      </c>
      <c r="I61" s="26">
        <f t="shared" si="5"/>
        <v>101300</v>
      </c>
      <c r="J61" s="26">
        <f t="shared" si="6"/>
        <v>2.0124824921938581E-5</v>
      </c>
      <c r="K61" s="20">
        <v>411.1584158415842</v>
      </c>
      <c r="L61" s="27">
        <f t="shared" si="7"/>
        <v>4.1115841584158421E-4</v>
      </c>
      <c r="M61" s="29">
        <f t="shared" si="8"/>
        <v>4.7762865441819992E-3</v>
      </c>
      <c r="N61" s="27">
        <f t="shared" si="9"/>
        <v>1.7324109551326375E-6</v>
      </c>
      <c r="O61" s="21">
        <f t="shared" si="10"/>
        <v>2.032E-3</v>
      </c>
      <c r="P61" s="21">
        <v>1.0571269522665299E-10</v>
      </c>
      <c r="Q61" s="2">
        <v>0.32</v>
      </c>
      <c r="R61" s="27">
        <f t="shared" si="11"/>
        <v>132000</v>
      </c>
      <c r="S61" s="2">
        <f t="shared" si="12"/>
        <v>5.2493374855265302E-3</v>
      </c>
      <c r="T61" s="11">
        <v>0.11</v>
      </c>
      <c r="U61" s="30">
        <f t="shared" si="13"/>
        <v>111000.00000000001</v>
      </c>
      <c r="V61" s="30">
        <f t="shared" si="1"/>
        <v>45.638584158415853</v>
      </c>
      <c r="W61" s="11">
        <f t="shared" si="14"/>
        <v>1604.4737142656213</v>
      </c>
      <c r="X61" s="9">
        <f t="shared" si="15"/>
        <v>6.974173137801495E-14</v>
      </c>
      <c r="Y61" s="9">
        <f t="shared" si="16"/>
        <v>41998470635.840607</v>
      </c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</row>
    <row r="62" spans="1:76" s="4" customFormat="1" x14ac:dyDescent="0.3">
      <c r="A62" s="26">
        <v>180</v>
      </c>
      <c r="B62" s="26">
        <f t="shared" si="2"/>
        <v>3</v>
      </c>
      <c r="C62" s="26">
        <v>20</v>
      </c>
      <c r="D62" s="26">
        <f t="shared" si="0"/>
        <v>29.146000000000001</v>
      </c>
      <c r="E62" s="26">
        <f t="shared" si="3"/>
        <v>4.8576666666666667E-7</v>
      </c>
      <c r="F62" s="26">
        <v>21.1</v>
      </c>
      <c r="G62" s="26">
        <f t="shared" si="4"/>
        <v>294.10000000000002</v>
      </c>
      <c r="H62" s="26">
        <v>101.3</v>
      </c>
      <c r="I62" s="26">
        <f t="shared" si="5"/>
        <v>101300</v>
      </c>
      <c r="J62" s="26">
        <f t="shared" si="6"/>
        <v>2.0124824921938581E-5</v>
      </c>
      <c r="K62" s="20">
        <v>412.79207920792084</v>
      </c>
      <c r="L62" s="27">
        <f t="shared" si="7"/>
        <v>4.1279207920792081E-4</v>
      </c>
      <c r="M62" s="29">
        <f t="shared" si="8"/>
        <v>4.7762865441819992E-3</v>
      </c>
      <c r="N62" s="27">
        <f t="shared" si="9"/>
        <v>1.7392943757408413E-6</v>
      </c>
      <c r="O62" s="21">
        <f t="shared" si="10"/>
        <v>2.032E-3</v>
      </c>
      <c r="P62" s="21">
        <v>1.0571269522665299E-10</v>
      </c>
      <c r="Q62" s="2">
        <v>0.32</v>
      </c>
      <c r="R62" s="27">
        <f t="shared" si="11"/>
        <v>132000</v>
      </c>
      <c r="S62" s="2">
        <f t="shared" si="12"/>
        <v>5.2493374855265302E-3</v>
      </c>
      <c r="T62" s="11">
        <v>0.11</v>
      </c>
      <c r="U62" s="30">
        <f t="shared" si="13"/>
        <v>111000.00000000001</v>
      </c>
      <c r="V62" s="30">
        <f t="shared" si="1"/>
        <v>45.819920792079216</v>
      </c>
      <c r="W62" s="11">
        <f t="shared" si="14"/>
        <v>1616.1688617936043</v>
      </c>
      <c r="X62" s="9">
        <f t="shared" si="15"/>
        <v>7.0025118032188707E-14</v>
      </c>
      <c r="Y62" s="9">
        <f t="shared" si="16"/>
        <v>42169126078.984039</v>
      </c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</row>
    <row r="63" spans="1:76" s="4" customFormat="1" x14ac:dyDescent="0.3">
      <c r="A63" s="26">
        <v>183</v>
      </c>
      <c r="B63" s="26">
        <f t="shared" ref="B63:B82" si="17">(A63/60)</f>
        <v>3.05</v>
      </c>
      <c r="C63" s="26">
        <v>20</v>
      </c>
      <c r="D63" s="26">
        <f t="shared" ref="D63:D82" si="18">(C63*1.4573)</f>
        <v>29.146000000000001</v>
      </c>
      <c r="E63" s="26">
        <f t="shared" ref="E63:E82" si="19">(D63/(1000000*60))</f>
        <v>4.8576666666666667E-7</v>
      </c>
      <c r="F63" s="26">
        <v>21.1</v>
      </c>
      <c r="G63" s="26">
        <f t="shared" ref="G63:G82" si="20">(273+F63)</f>
        <v>294.10000000000002</v>
      </c>
      <c r="H63" s="26">
        <v>101.3</v>
      </c>
      <c r="I63" s="26">
        <f t="shared" ref="I63:I82" si="21">(H63*1000)</f>
        <v>101300</v>
      </c>
      <c r="J63" s="26">
        <f t="shared" ref="J63:J82" si="22">((I63*E63)/(8.314*G63))</f>
        <v>2.0124824921938581E-5</v>
      </c>
      <c r="K63" s="20">
        <v>422.64356435643566</v>
      </c>
      <c r="L63" s="27">
        <f t="shared" ref="L63:L82" si="23">(K63/1000000)</f>
        <v>4.2264356435643566E-4</v>
      </c>
      <c r="M63" s="29">
        <f t="shared" si="8"/>
        <v>4.7762865441819992E-3</v>
      </c>
      <c r="N63" s="27">
        <f t="shared" ref="N63:N82" si="24">(L63*J63)/M63</f>
        <v>1.7808034878933438E-6</v>
      </c>
      <c r="O63" s="21">
        <f t="shared" si="10"/>
        <v>2.032E-3</v>
      </c>
      <c r="P63" s="21">
        <v>1.0571269522665299E-10</v>
      </c>
      <c r="Q63" s="2">
        <v>0.32</v>
      </c>
      <c r="R63" s="27">
        <f t="shared" ref="R63:R82" si="25">(1+Q63)*100000*1</f>
        <v>132000</v>
      </c>
      <c r="S63" s="2">
        <f t="shared" si="12"/>
        <v>5.2493374855265302E-3</v>
      </c>
      <c r="T63" s="11">
        <v>0.11</v>
      </c>
      <c r="U63" s="30">
        <f t="shared" ref="U63:U82" si="26">(1+T63)*100000</f>
        <v>111000.00000000001</v>
      </c>
      <c r="V63" s="30">
        <f t="shared" ref="V63:V82" si="27">(L63*U63)</f>
        <v>46.913435643564362</v>
      </c>
      <c r="W63" s="11">
        <f t="shared" ref="W63:W82" si="28">((N63*O63/P63) + SQRT(V63))^2</f>
        <v>1687.548667062832</v>
      </c>
      <c r="X63" s="9">
        <f t="shared" ref="X63:X82" si="29">(N63*S63)/(R63-W63)</f>
        <v>7.1735574058625297E-14</v>
      </c>
      <c r="Y63" s="9">
        <f t="shared" ref="Y63:Y82" si="30">(X63*6.022E+23)</f>
        <v>43199162698.104156</v>
      </c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</row>
    <row r="64" spans="1:76" s="4" customFormat="1" x14ac:dyDescent="0.3">
      <c r="A64" s="26">
        <v>186</v>
      </c>
      <c r="B64" s="26">
        <f t="shared" si="17"/>
        <v>3.1</v>
      </c>
      <c r="C64" s="26">
        <v>20</v>
      </c>
      <c r="D64" s="26">
        <f t="shared" si="18"/>
        <v>29.146000000000001</v>
      </c>
      <c r="E64" s="26">
        <f t="shared" si="19"/>
        <v>4.8576666666666667E-7</v>
      </c>
      <c r="F64" s="26">
        <v>21.1</v>
      </c>
      <c r="G64" s="26">
        <f t="shared" si="20"/>
        <v>294.10000000000002</v>
      </c>
      <c r="H64" s="26">
        <v>101.3</v>
      </c>
      <c r="I64" s="26">
        <f t="shared" si="21"/>
        <v>101300</v>
      </c>
      <c r="J64" s="26">
        <f t="shared" si="22"/>
        <v>2.0124824921938581E-5</v>
      </c>
      <c r="K64" s="20">
        <v>411.55445544554453</v>
      </c>
      <c r="L64" s="27">
        <f t="shared" si="23"/>
        <v>4.1155445544554452E-4</v>
      </c>
      <c r="M64" s="29">
        <f t="shared" si="8"/>
        <v>4.7762865441819992E-3</v>
      </c>
      <c r="N64" s="27">
        <f t="shared" si="24"/>
        <v>1.7340796631588681E-6</v>
      </c>
      <c r="O64" s="21">
        <f t="shared" si="10"/>
        <v>2.032E-3</v>
      </c>
      <c r="P64" s="21">
        <v>1.0571269522665299E-10</v>
      </c>
      <c r="Q64" s="2">
        <v>0.32</v>
      </c>
      <c r="R64" s="27">
        <f t="shared" si="25"/>
        <v>132000</v>
      </c>
      <c r="S64" s="2">
        <f t="shared" si="12"/>
        <v>5.2493374855265302E-3</v>
      </c>
      <c r="T64" s="11">
        <v>0.11</v>
      </c>
      <c r="U64" s="30">
        <f t="shared" si="26"/>
        <v>111000.00000000001</v>
      </c>
      <c r="V64" s="30">
        <f t="shared" si="27"/>
        <v>45.682544554455447</v>
      </c>
      <c r="W64" s="11">
        <f t="shared" si="28"/>
        <v>1607.3051975807698</v>
      </c>
      <c r="X64" s="9">
        <f t="shared" si="29"/>
        <v>6.9810424521881869E-14</v>
      </c>
      <c r="Y64" s="9">
        <f t="shared" si="30"/>
        <v>42039837647.077263</v>
      </c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</row>
    <row r="65" spans="1:76" s="4" customFormat="1" x14ac:dyDescent="0.3">
      <c r="A65" s="26">
        <v>189</v>
      </c>
      <c r="B65" s="26">
        <f t="shared" si="17"/>
        <v>3.15</v>
      </c>
      <c r="C65" s="26">
        <v>20</v>
      </c>
      <c r="D65" s="26">
        <f t="shared" si="18"/>
        <v>29.146000000000001</v>
      </c>
      <c r="E65" s="26">
        <f t="shared" si="19"/>
        <v>4.8576666666666667E-7</v>
      </c>
      <c r="F65" s="26">
        <v>21.1</v>
      </c>
      <c r="G65" s="26">
        <f t="shared" si="20"/>
        <v>294.10000000000002</v>
      </c>
      <c r="H65" s="26">
        <v>101.3</v>
      </c>
      <c r="I65" s="26">
        <f t="shared" si="21"/>
        <v>101300</v>
      </c>
      <c r="J65" s="26">
        <f t="shared" si="22"/>
        <v>2.0124824921938581E-5</v>
      </c>
      <c r="K65" s="20">
        <v>407.27227722772284</v>
      </c>
      <c r="L65" s="27">
        <f t="shared" si="23"/>
        <v>4.0727227722772285E-4</v>
      </c>
      <c r="M65" s="29">
        <f t="shared" si="8"/>
        <v>4.7762865441819992E-3</v>
      </c>
      <c r="N65" s="27">
        <f t="shared" si="24"/>
        <v>1.7160367576252431E-6</v>
      </c>
      <c r="O65" s="21">
        <f t="shared" si="10"/>
        <v>2.032E-3</v>
      </c>
      <c r="P65" s="21">
        <v>1.0571269522665299E-10</v>
      </c>
      <c r="Q65" s="2">
        <v>0.32</v>
      </c>
      <c r="R65" s="27">
        <f t="shared" si="25"/>
        <v>132000</v>
      </c>
      <c r="S65" s="2">
        <f t="shared" si="12"/>
        <v>5.2493374855265302E-3</v>
      </c>
      <c r="T65" s="11">
        <v>0.11</v>
      </c>
      <c r="U65" s="30">
        <f t="shared" si="26"/>
        <v>111000.00000000001</v>
      </c>
      <c r="V65" s="30">
        <f t="shared" si="27"/>
        <v>45.207222772277241</v>
      </c>
      <c r="W65" s="11">
        <f t="shared" si="28"/>
        <v>1576.8155756814197</v>
      </c>
      <c r="X65" s="9">
        <f t="shared" si="29"/>
        <v>6.9067904744886442E-14</v>
      </c>
      <c r="Y65" s="9">
        <f t="shared" si="30"/>
        <v>41592692237.370621</v>
      </c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</row>
    <row r="66" spans="1:76" s="4" customFormat="1" x14ac:dyDescent="0.3">
      <c r="A66" s="26">
        <v>192</v>
      </c>
      <c r="B66" s="26">
        <f t="shared" si="17"/>
        <v>3.2</v>
      </c>
      <c r="C66" s="26">
        <v>20</v>
      </c>
      <c r="D66" s="26">
        <f t="shared" si="18"/>
        <v>29.146000000000001</v>
      </c>
      <c r="E66" s="26">
        <f t="shared" si="19"/>
        <v>4.8576666666666667E-7</v>
      </c>
      <c r="F66" s="26">
        <v>21.1</v>
      </c>
      <c r="G66" s="26">
        <f t="shared" si="20"/>
        <v>294.10000000000002</v>
      </c>
      <c r="H66" s="26">
        <v>101.3</v>
      </c>
      <c r="I66" s="26">
        <f t="shared" si="21"/>
        <v>101300</v>
      </c>
      <c r="J66" s="26">
        <f t="shared" si="22"/>
        <v>2.0124824921938581E-5</v>
      </c>
      <c r="K66" s="20">
        <v>415.24257425742576</v>
      </c>
      <c r="L66" s="27">
        <f t="shared" si="23"/>
        <v>4.1524257425742576E-4</v>
      </c>
      <c r="M66" s="29">
        <f t="shared" si="8"/>
        <v>4.7762865441819992E-3</v>
      </c>
      <c r="N66" s="27">
        <f t="shared" si="24"/>
        <v>1.7496195066531469E-6</v>
      </c>
      <c r="O66" s="21">
        <f t="shared" si="10"/>
        <v>2.032E-3</v>
      </c>
      <c r="P66" s="21">
        <v>1.0571269522665299E-10</v>
      </c>
      <c r="Q66" s="2">
        <v>0.32</v>
      </c>
      <c r="R66" s="27">
        <f t="shared" si="25"/>
        <v>132000</v>
      </c>
      <c r="S66" s="2">
        <f t="shared" si="12"/>
        <v>5.2493374855265302E-3</v>
      </c>
      <c r="T66" s="11">
        <v>0.11</v>
      </c>
      <c r="U66" s="30">
        <f t="shared" si="26"/>
        <v>111000.00000000001</v>
      </c>
      <c r="V66" s="30">
        <f t="shared" si="27"/>
        <v>46.091925742574269</v>
      </c>
      <c r="W66" s="11">
        <f t="shared" si="28"/>
        <v>1633.7871985573429</v>
      </c>
      <c r="X66" s="9">
        <f t="shared" si="29"/>
        <v>7.045033421099093E-14</v>
      </c>
      <c r="Y66" s="9">
        <f t="shared" si="30"/>
        <v>42425191261.858742</v>
      </c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</row>
    <row r="67" spans="1:76" s="4" customFormat="1" x14ac:dyDescent="0.3">
      <c r="A67" s="26">
        <v>195</v>
      </c>
      <c r="B67" s="26">
        <f t="shared" si="17"/>
        <v>3.25</v>
      </c>
      <c r="C67" s="26">
        <v>20</v>
      </c>
      <c r="D67" s="26">
        <f t="shared" si="18"/>
        <v>29.146000000000001</v>
      </c>
      <c r="E67" s="26">
        <f t="shared" si="19"/>
        <v>4.8576666666666667E-7</v>
      </c>
      <c r="F67" s="26">
        <v>21.1</v>
      </c>
      <c r="G67" s="26">
        <f t="shared" si="20"/>
        <v>294.10000000000002</v>
      </c>
      <c r="H67" s="26">
        <v>101.3</v>
      </c>
      <c r="I67" s="26">
        <f t="shared" si="21"/>
        <v>101300</v>
      </c>
      <c r="J67" s="26">
        <f t="shared" si="22"/>
        <v>2.0124824921938581E-5</v>
      </c>
      <c r="K67" s="20">
        <v>409.92079207920796</v>
      </c>
      <c r="L67" s="27">
        <f t="shared" si="23"/>
        <v>4.0992079207920797E-4</v>
      </c>
      <c r="M67" s="29">
        <f t="shared" ref="M67:M82" si="31">(3.142*3.07*3.07*25.4*25.4)/(4*1000000)</f>
        <v>4.7762865441819992E-3</v>
      </c>
      <c r="N67" s="27">
        <f t="shared" si="24"/>
        <v>1.7271962425506647E-6</v>
      </c>
      <c r="O67" s="21">
        <f t="shared" ref="O67:O82" si="32">(2.032/1000)</f>
        <v>2.032E-3</v>
      </c>
      <c r="P67" s="21">
        <v>1.0571269522665299E-10</v>
      </c>
      <c r="Q67" s="2">
        <v>0.32</v>
      </c>
      <c r="R67" s="27">
        <f t="shared" si="25"/>
        <v>132000</v>
      </c>
      <c r="S67" s="2">
        <f t="shared" ref="S67:S82" si="33">(5.24933748552653/1000)</f>
        <v>5.2493374855265302E-3</v>
      </c>
      <c r="T67" s="11">
        <v>0.11</v>
      </c>
      <c r="U67" s="30">
        <f t="shared" si="26"/>
        <v>111000.00000000001</v>
      </c>
      <c r="V67" s="30">
        <f t="shared" si="27"/>
        <v>45.501207920792091</v>
      </c>
      <c r="W67" s="11">
        <f t="shared" si="28"/>
        <v>1595.6406101057626</v>
      </c>
      <c r="X67" s="9">
        <f t="shared" si="29"/>
        <v>6.9527092677734525E-14</v>
      </c>
      <c r="Y67" s="9">
        <f t="shared" si="30"/>
        <v>41869215210.531731</v>
      </c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</row>
    <row r="68" spans="1:76" s="4" customFormat="1" x14ac:dyDescent="0.3">
      <c r="A68" s="26">
        <v>198</v>
      </c>
      <c r="B68" s="26">
        <f t="shared" si="17"/>
        <v>3.3</v>
      </c>
      <c r="C68" s="26">
        <v>20</v>
      </c>
      <c r="D68" s="26">
        <f t="shared" si="18"/>
        <v>29.146000000000001</v>
      </c>
      <c r="E68" s="26">
        <f t="shared" si="19"/>
        <v>4.8576666666666667E-7</v>
      </c>
      <c r="F68" s="26">
        <v>21.1</v>
      </c>
      <c r="G68" s="26">
        <f t="shared" si="20"/>
        <v>294.10000000000002</v>
      </c>
      <c r="H68" s="26">
        <v>101.3</v>
      </c>
      <c r="I68" s="26">
        <f t="shared" si="21"/>
        <v>101300</v>
      </c>
      <c r="J68" s="26">
        <f t="shared" si="22"/>
        <v>2.0124824921938581E-5</v>
      </c>
      <c r="K68" s="20">
        <v>413.83168316831689</v>
      </c>
      <c r="L68" s="27">
        <f t="shared" si="23"/>
        <v>4.1383168316831687E-4</v>
      </c>
      <c r="M68" s="29">
        <f t="shared" si="31"/>
        <v>4.7762865441819992E-3</v>
      </c>
      <c r="N68" s="27">
        <f t="shared" si="24"/>
        <v>1.7436747343096981E-6</v>
      </c>
      <c r="O68" s="21">
        <f t="shared" si="32"/>
        <v>2.032E-3</v>
      </c>
      <c r="P68" s="21">
        <v>1.0571269522665299E-10</v>
      </c>
      <c r="Q68" s="2">
        <v>0.32</v>
      </c>
      <c r="R68" s="27">
        <f t="shared" si="25"/>
        <v>132000</v>
      </c>
      <c r="S68" s="2">
        <f t="shared" si="33"/>
        <v>5.2493374855265302E-3</v>
      </c>
      <c r="T68" s="11">
        <v>0.11</v>
      </c>
      <c r="U68" s="30">
        <f t="shared" si="26"/>
        <v>111000.00000000001</v>
      </c>
      <c r="V68" s="30">
        <f t="shared" si="27"/>
        <v>45.935316831683181</v>
      </c>
      <c r="W68" s="11">
        <f t="shared" si="28"/>
        <v>1623.632227330761</v>
      </c>
      <c r="X68" s="9">
        <f t="shared" si="29"/>
        <v>7.0205492772565035E-14</v>
      </c>
      <c r="Y68" s="9">
        <f t="shared" si="30"/>
        <v>42277747747.638664</v>
      </c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</row>
    <row r="69" spans="1:76" s="4" customFormat="1" x14ac:dyDescent="0.3">
      <c r="A69" s="26">
        <v>201</v>
      </c>
      <c r="B69" s="26">
        <f t="shared" si="17"/>
        <v>3.35</v>
      </c>
      <c r="C69" s="26">
        <v>20</v>
      </c>
      <c r="D69" s="26">
        <f t="shared" si="18"/>
        <v>29.146000000000001</v>
      </c>
      <c r="E69" s="26">
        <f t="shared" si="19"/>
        <v>4.8576666666666667E-7</v>
      </c>
      <c r="F69" s="26">
        <v>21.1</v>
      </c>
      <c r="G69" s="26">
        <f t="shared" si="20"/>
        <v>294.10000000000002</v>
      </c>
      <c r="H69" s="26">
        <v>101.3</v>
      </c>
      <c r="I69" s="26">
        <f t="shared" si="21"/>
        <v>101300</v>
      </c>
      <c r="J69" s="26">
        <f t="shared" si="22"/>
        <v>2.0124824921938581E-5</v>
      </c>
      <c r="K69" s="20">
        <v>404.94554455445547</v>
      </c>
      <c r="L69" s="27">
        <f t="shared" si="23"/>
        <v>4.0494554455445549E-4</v>
      </c>
      <c r="M69" s="29">
        <f t="shared" si="31"/>
        <v>4.7762865441819992E-3</v>
      </c>
      <c r="N69" s="27">
        <f t="shared" si="24"/>
        <v>1.7062330979711345E-6</v>
      </c>
      <c r="O69" s="21">
        <f t="shared" si="32"/>
        <v>2.032E-3</v>
      </c>
      <c r="P69" s="21">
        <v>1.0571269522665299E-10</v>
      </c>
      <c r="Q69" s="2">
        <v>0.32</v>
      </c>
      <c r="R69" s="27">
        <f t="shared" si="25"/>
        <v>132000</v>
      </c>
      <c r="S69" s="2">
        <f t="shared" si="33"/>
        <v>5.2493374855265302E-3</v>
      </c>
      <c r="T69" s="11">
        <v>0.11</v>
      </c>
      <c r="U69" s="30">
        <f t="shared" si="26"/>
        <v>111000.00000000001</v>
      </c>
      <c r="V69" s="30">
        <f t="shared" si="27"/>
        <v>44.948955445544563</v>
      </c>
      <c r="W69" s="11">
        <f t="shared" si="28"/>
        <v>1560.3652363309034</v>
      </c>
      <c r="X69" s="9">
        <f t="shared" si="29"/>
        <v>6.8664661446296739E-14</v>
      </c>
      <c r="Y69" s="9">
        <f t="shared" si="30"/>
        <v>41349859122.9599</v>
      </c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</row>
    <row r="70" spans="1:76" s="4" customFormat="1" x14ac:dyDescent="0.3">
      <c r="A70" s="26">
        <v>204</v>
      </c>
      <c r="B70" s="26">
        <f t="shared" si="17"/>
        <v>3.4</v>
      </c>
      <c r="C70" s="26">
        <v>20</v>
      </c>
      <c r="D70" s="26">
        <f t="shared" si="18"/>
        <v>29.146000000000001</v>
      </c>
      <c r="E70" s="26">
        <f t="shared" si="19"/>
        <v>4.8576666666666667E-7</v>
      </c>
      <c r="F70" s="26">
        <v>21.1</v>
      </c>
      <c r="G70" s="26">
        <f t="shared" si="20"/>
        <v>294.10000000000002</v>
      </c>
      <c r="H70" s="26">
        <v>101.3</v>
      </c>
      <c r="I70" s="26">
        <f t="shared" si="21"/>
        <v>101300</v>
      </c>
      <c r="J70" s="26">
        <f t="shared" si="22"/>
        <v>2.0124824921938581E-5</v>
      </c>
      <c r="K70" s="20">
        <v>408.36138613861391</v>
      </c>
      <c r="L70" s="27">
        <f t="shared" si="23"/>
        <v>4.0836138613861391E-4</v>
      </c>
      <c r="M70" s="29">
        <f t="shared" si="31"/>
        <v>4.7762865441819992E-3</v>
      </c>
      <c r="N70" s="27">
        <f t="shared" si="24"/>
        <v>1.7206257046973789E-6</v>
      </c>
      <c r="O70" s="21">
        <f t="shared" si="32"/>
        <v>2.032E-3</v>
      </c>
      <c r="P70" s="21">
        <v>1.0571269522665299E-10</v>
      </c>
      <c r="Q70" s="2">
        <v>0.32</v>
      </c>
      <c r="R70" s="27">
        <f t="shared" si="25"/>
        <v>132000</v>
      </c>
      <c r="S70" s="2">
        <f t="shared" si="33"/>
        <v>5.2493374855265302E-3</v>
      </c>
      <c r="T70" s="11">
        <v>0.11</v>
      </c>
      <c r="U70" s="30">
        <f t="shared" si="26"/>
        <v>111000.00000000001</v>
      </c>
      <c r="V70" s="30">
        <f t="shared" si="27"/>
        <v>45.32811386138615</v>
      </c>
      <c r="W70" s="11">
        <f t="shared" si="28"/>
        <v>1584.5438702336396</v>
      </c>
      <c r="X70" s="9">
        <f t="shared" si="29"/>
        <v>6.9256706821937287E-14</v>
      </c>
      <c r="Y70" s="9">
        <f t="shared" si="30"/>
        <v>41706388848.170639</v>
      </c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</row>
    <row r="71" spans="1:76" s="4" customFormat="1" x14ac:dyDescent="0.3">
      <c r="A71" s="26">
        <v>207</v>
      </c>
      <c r="B71" s="26">
        <f t="shared" si="17"/>
        <v>3.45</v>
      </c>
      <c r="C71" s="26">
        <v>20</v>
      </c>
      <c r="D71" s="26">
        <f t="shared" si="18"/>
        <v>29.146000000000001</v>
      </c>
      <c r="E71" s="26">
        <f t="shared" si="19"/>
        <v>4.8576666666666667E-7</v>
      </c>
      <c r="F71" s="26">
        <v>21.1</v>
      </c>
      <c r="G71" s="26">
        <f t="shared" si="20"/>
        <v>294.10000000000002</v>
      </c>
      <c r="H71" s="26">
        <v>101.3</v>
      </c>
      <c r="I71" s="26">
        <f t="shared" si="21"/>
        <v>101300</v>
      </c>
      <c r="J71" s="26">
        <f t="shared" si="22"/>
        <v>2.0124824921938581E-5</v>
      </c>
      <c r="K71" s="20">
        <v>409.45049504950504</v>
      </c>
      <c r="L71" s="27">
        <f t="shared" si="23"/>
        <v>4.0945049504950503E-4</v>
      </c>
      <c r="M71" s="29">
        <f t="shared" si="31"/>
        <v>4.7762865441819992E-3</v>
      </c>
      <c r="N71" s="27">
        <f t="shared" si="24"/>
        <v>1.7252146517695152E-6</v>
      </c>
      <c r="O71" s="21">
        <f t="shared" si="32"/>
        <v>2.032E-3</v>
      </c>
      <c r="P71" s="21">
        <v>1.0571269522665299E-10</v>
      </c>
      <c r="Q71" s="2">
        <v>0.32</v>
      </c>
      <c r="R71" s="27">
        <f t="shared" si="25"/>
        <v>132000</v>
      </c>
      <c r="S71" s="2">
        <f t="shared" si="33"/>
        <v>5.2493374855265302E-3</v>
      </c>
      <c r="T71" s="11">
        <v>0.11</v>
      </c>
      <c r="U71" s="30">
        <f t="shared" si="26"/>
        <v>111000.00000000001</v>
      </c>
      <c r="V71" s="30">
        <f t="shared" si="27"/>
        <v>45.449004950495066</v>
      </c>
      <c r="W71" s="11">
        <f t="shared" si="28"/>
        <v>1592.2901020143152</v>
      </c>
      <c r="X71" s="9">
        <f t="shared" si="29"/>
        <v>6.9445540828818747E-14</v>
      </c>
      <c r="Y71" s="9">
        <f t="shared" si="30"/>
        <v>41820104687.114655</v>
      </c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</row>
    <row r="72" spans="1:76" s="4" customFormat="1" x14ac:dyDescent="0.3">
      <c r="A72" s="26">
        <v>210</v>
      </c>
      <c r="B72" s="26">
        <f t="shared" si="17"/>
        <v>3.5</v>
      </c>
      <c r="C72" s="26">
        <v>20</v>
      </c>
      <c r="D72" s="26">
        <f t="shared" si="18"/>
        <v>29.146000000000001</v>
      </c>
      <c r="E72" s="26">
        <f t="shared" si="19"/>
        <v>4.8576666666666667E-7</v>
      </c>
      <c r="F72" s="26">
        <v>21.1</v>
      </c>
      <c r="G72" s="26">
        <f t="shared" si="20"/>
        <v>294.10000000000002</v>
      </c>
      <c r="H72" s="26">
        <v>101.3</v>
      </c>
      <c r="I72" s="26">
        <f t="shared" si="21"/>
        <v>101300</v>
      </c>
      <c r="J72" s="26">
        <f t="shared" si="22"/>
        <v>2.0124824921938581E-5</v>
      </c>
      <c r="K72" s="20">
        <v>429.02970297029702</v>
      </c>
      <c r="L72" s="27">
        <f t="shared" si="23"/>
        <v>4.2902970297029703E-4</v>
      </c>
      <c r="M72" s="29">
        <f t="shared" si="31"/>
        <v>4.7762865441819992E-3</v>
      </c>
      <c r="N72" s="27">
        <f t="shared" si="24"/>
        <v>1.8077114048163224E-6</v>
      </c>
      <c r="O72" s="21">
        <f t="shared" si="32"/>
        <v>2.032E-3</v>
      </c>
      <c r="P72" s="21">
        <v>1.0571269522665299E-10</v>
      </c>
      <c r="Q72" s="2">
        <v>0.32</v>
      </c>
      <c r="R72" s="27">
        <f t="shared" si="25"/>
        <v>132000</v>
      </c>
      <c r="S72" s="2">
        <f t="shared" si="33"/>
        <v>5.2493374855265302E-3</v>
      </c>
      <c r="T72" s="11">
        <v>0.11</v>
      </c>
      <c r="U72" s="30">
        <f t="shared" si="26"/>
        <v>111000.00000000001</v>
      </c>
      <c r="V72" s="30">
        <f t="shared" si="27"/>
        <v>47.622297029702978</v>
      </c>
      <c r="W72" s="11">
        <f t="shared" si="28"/>
        <v>1734.602420132512</v>
      </c>
      <c r="X72" s="9">
        <f t="shared" si="29"/>
        <v>7.2845801084652076E-14</v>
      </c>
      <c r="Y72" s="9">
        <f t="shared" si="30"/>
        <v>43867741413.177483</v>
      </c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</row>
    <row r="73" spans="1:76" s="4" customFormat="1" x14ac:dyDescent="0.3">
      <c r="A73" s="26">
        <v>213</v>
      </c>
      <c r="B73" s="26">
        <f t="shared" si="17"/>
        <v>3.55</v>
      </c>
      <c r="C73" s="26">
        <v>20</v>
      </c>
      <c r="D73" s="26">
        <f t="shared" si="18"/>
        <v>29.146000000000001</v>
      </c>
      <c r="E73" s="26">
        <f t="shared" si="19"/>
        <v>4.8576666666666667E-7</v>
      </c>
      <c r="F73" s="26">
        <v>21.1</v>
      </c>
      <c r="G73" s="26">
        <f t="shared" si="20"/>
        <v>294.10000000000002</v>
      </c>
      <c r="H73" s="26">
        <v>101.3</v>
      </c>
      <c r="I73" s="26">
        <f t="shared" si="21"/>
        <v>101300</v>
      </c>
      <c r="J73" s="26">
        <f t="shared" si="22"/>
        <v>2.0124824921938581E-5</v>
      </c>
      <c r="K73" s="20">
        <v>408.28712871287132</v>
      </c>
      <c r="L73" s="27">
        <f t="shared" si="23"/>
        <v>4.0828712871287132E-4</v>
      </c>
      <c r="M73" s="29">
        <f t="shared" si="31"/>
        <v>4.7762865441819992E-3</v>
      </c>
      <c r="N73" s="27">
        <f t="shared" si="24"/>
        <v>1.7203128219424604E-6</v>
      </c>
      <c r="O73" s="21">
        <f t="shared" si="32"/>
        <v>2.032E-3</v>
      </c>
      <c r="P73" s="21">
        <v>1.0571269522665299E-10</v>
      </c>
      <c r="Q73" s="2">
        <v>0.32</v>
      </c>
      <c r="R73" s="27">
        <f t="shared" si="25"/>
        <v>132000</v>
      </c>
      <c r="S73" s="2">
        <f t="shared" si="33"/>
        <v>5.2493374855265302E-3</v>
      </c>
      <c r="T73" s="11">
        <v>0.11</v>
      </c>
      <c r="U73" s="30">
        <f t="shared" si="26"/>
        <v>111000.00000000001</v>
      </c>
      <c r="V73" s="30">
        <f t="shared" si="27"/>
        <v>45.31987128712872</v>
      </c>
      <c r="W73" s="11">
        <f t="shared" si="28"/>
        <v>1584.0163712203007</v>
      </c>
      <c r="X73" s="9">
        <f t="shared" si="29"/>
        <v>6.9243832939674028E-14</v>
      </c>
      <c r="Y73" s="9">
        <f t="shared" si="30"/>
        <v>41698636196.271698</v>
      </c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</row>
    <row r="74" spans="1:76" s="4" customFormat="1" x14ac:dyDescent="0.3">
      <c r="A74" s="26">
        <v>216</v>
      </c>
      <c r="B74" s="26">
        <f t="shared" si="17"/>
        <v>3.6</v>
      </c>
      <c r="C74" s="26">
        <v>20</v>
      </c>
      <c r="D74" s="26">
        <f t="shared" si="18"/>
        <v>29.146000000000001</v>
      </c>
      <c r="E74" s="26">
        <f t="shared" si="19"/>
        <v>4.8576666666666667E-7</v>
      </c>
      <c r="F74" s="26">
        <v>21.1</v>
      </c>
      <c r="G74" s="26">
        <f t="shared" si="20"/>
        <v>294.10000000000002</v>
      </c>
      <c r="H74" s="26">
        <v>101.3</v>
      </c>
      <c r="I74" s="26">
        <f t="shared" si="21"/>
        <v>101300</v>
      </c>
      <c r="J74" s="26">
        <f t="shared" si="22"/>
        <v>2.0124824921938581E-5</v>
      </c>
      <c r="K74" s="20">
        <v>413.70792079207922</v>
      </c>
      <c r="L74" s="27">
        <f t="shared" si="23"/>
        <v>4.1370792079207922E-4</v>
      </c>
      <c r="M74" s="29">
        <f t="shared" si="31"/>
        <v>4.7762865441819992E-3</v>
      </c>
      <c r="N74" s="27">
        <f t="shared" si="24"/>
        <v>1.7431532630515007E-6</v>
      </c>
      <c r="O74" s="21">
        <f t="shared" si="32"/>
        <v>2.032E-3</v>
      </c>
      <c r="P74" s="21">
        <v>1.0571269522665299E-10</v>
      </c>
      <c r="Q74" s="2">
        <v>0.32</v>
      </c>
      <c r="R74" s="27">
        <f t="shared" si="25"/>
        <v>132000</v>
      </c>
      <c r="S74" s="2">
        <f t="shared" si="33"/>
        <v>5.2493374855265302E-3</v>
      </c>
      <c r="T74" s="11">
        <v>0.11</v>
      </c>
      <c r="U74" s="30">
        <f t="shared" si="26"/>
        <v>111000.00000000001</v>
      </c>
      <c r="V74" s="30">
        <f t="shared" si="27"/>
        <v>45.9215792079208</v>
      </c>
      <c r="W74" s="11">
        <f t="shared" si="28"/>
        <v>1622.7428751118873</v>
      </c>
      <c r="X74" s="9">
        <f t="shared" si="29"/>
        <v>7.0184018045332725E-14</v>
      </c>
      <c r="Y74" s="9">
        <f t="shared" si="30"/>
        <v>42264815666.899368</v>
      </c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</row>
    <row r="75" spans="1:76" s="4" customFormat="1" x14ac:dyDescent="0.3">
      <c r="A75" s="26">
        <v>219</v>
      </c>
      <c r="B75" s="26">
        <f t="shared" si="17"/>
        <v>3.65</v>
      </c>
      <c r="C75" s="26">
        <v>20</v>
      </c>
      <c r="D75" s="26">
        <f t="shared" si="18"/>
        <v>29.146000000000001</v>
      </c>
      <c r="E75" s="26">
        <f t="shared" si="19"/>
        <v>4.8576666666666667E-7</v>
      </c>
      <c r="F75" s="26">
        <v>21.1</v>
      </c>
      <c r="G75" s="26">
        <f t="shared" si="20"/>
        <v>294.10000000000002</v>
      </c>
      <c r="H75" s="26">
        <v>101.3</v>
      </c>
      <c r="I75" s="26">
        <f t="shared" si="21"/>
        <v>101300</v>
      </c>
      <c r="J75" s="26">
        <f t="shared" si="22"/>
        <v>2.0124824921938581E-5</v>
      </c>
      <c r="K75" s="20">
        <v>417.04950495049508</v>
      </c>
      <c r="L75" s="27">
        <f t="shared" si="23"/>
        <v>4.1704950495049506E-4</v>
      </c>
      <c r="M75" s="29">
        <f t="shared" si="31"/>
        <v>4.7762865441819992E-3</v>
      </c>
      <c r="N75" s="27">
        <f t="shared" si="24"/>
        <v>1.7572329870228271E-6</v>
      </c>
      <c r="O75" s="21">
        <f t="shared" si="32"/>
        <v>2.032E-3</v>
      </c>
      <c r="P75" s="21">
        <v>1.0571269522665299E-10</v>
      </c>
      <c r="Q75" s="2">
        <v>0.32</v>
      </c>
      <c r="R75" s="27">
        <f t="shared" si="25"/>
        <v>132000</v>
      </c>
      <c r="S75" s="2">
        <f t="shared" si="33"/>
        <v>5.2493374855265302E-3</v>
      </c>
      <c r="T75" s="11">
        <v>0.11</v>
      </c>
      <c r="U75" s="30">
        <f t="shared" si="26"/>
        <v>111000.00000000001</v>
      </c>
      <c r="V75" s="30">
        <f t="shared" si="27"/>
        <v>46.292495049504957</v>
      </c>
      <c r="W75" s="11">
        <f t="shared" si="28"/>
        <v>1646.8366015460808</v>
      </c>
      <c r="X75" s="9">
        <f t="shared" si="29"/>
        <v>7.0763982623010797E-14</v>
      </c>
      <c r="Y75" s="9">
        <f t="shared" si="30"/>
        <v>42614070335.577103</v>
      </c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</row>
    <row r="76" spans="1:76" s="4" customFormat="1" x14ac:dyDescent="0.3">
      <c r="A76" s="26">
        <v>222</v>
      </c>
      <c r="B76" s="26">
        <f t="shared" si="17"/>
        <v>3.7</v>
      </c>
      <c r="C76" s="26">
        <v>20</v>
      </c>
      <c r="D76" s="26">
        <f t="shared" si="18"/>
        <v>29.146000000000001</v>
      </c>
      <c r="E76" s="26">
        <f t="shared" si="19"/>
        <v>4.8576666666666667E-7</v>
      </c>
      <c r="F76" s="26">
        <v>21.1</v>
      </c>
      <c r="G76" s="26">
        <f t="shared" si="20"/>
        <v>294.10000000000002</v>
      </c>
      <c r="H76" s="26">
        <v>101.3</v>
      </c>
      <c r="I76" s="26">
        <f t="shared" si="21"/>
        <v>101300</v>
      </c>
      <c r="J76" s="26">
        <f t="shared" si="22"/>
        <v>2.0124824921938581E-5</v>
      </c>
      <c r="K76" s="20">
        <v>413.36138613861385</v>
      </c>
      <c r="L76" s="27">
        <f t="shared" si="23"/>
        <v>4.1336138613861387E-4</v>
      </c>
      <c r="M76" s="29">
        <f t="shared" si="31"/>
        <v>4.7762865441819992E-3</v>
      </c>
      <c r="N76" s="27">
        <f t="shared" si="24"/>
        <v>1.7416931435285483E-6</v>
      </c>
      <c r="O76" s="21">
        <f t="shared" si="32"/>
        <v>2.032E-3</v>
      </c>
      <c r="P76" s="21">
        <v>1.0571269522665299E-10</v>
      </c>
      <c r="Q76" s="2">
        <v>0.32</v>
      </c>
      <c r="R76" s="27">
        <f t="shared" si="25"/>
        <v>132000</v>
      </c>
      <c r="S76" s="2">
        <f t="shared" si="33"/>
        <v>5.2493374855265302E-3</v>
      </c>
      <c r="T76" s="11">
        <v>0.11</v>
      </c>
      <c r="U76" s="30">
        <f t="shared" si="26"/>
        <v>111000.00000000001</v>
      </c>
      <c r="V76" s="30">
        <f t="shared" si="27"/>
        <v>45.883113861386143</v>
      </c>
      <c r="W76" s="11">
        <f t="shared" si="28"/>
        <v>1620.2539201134007</v>
      </c>
      <c r="X76" s="9">
        <f t="shared" si="29"/>
        <v>7.0123891029876594E-14</v>
      </c>
      <c r="Y76" s="9">
        <f t="shared" si="30"/>
        <v>42228607178.191689</v>
      </c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</row>
    <row r="77" spans="1:76" s="4" customFormat="1" x14ac:dyDescent="0.3">
      <c r="A77" s="26">
        <v>225</v>
      </c>
      <c r="B77" s="26">
        <f t="shared" si="17"/>
        <v>3.75</v>
      </c>
      <c r="C77" s="26">
        <v>20</v>
      </c>
      <c r="D77" s="26">
        <f t="shared" si="18"/>
        <v>29.146000000000001</v>
      </c>
      <c r="E77" s="26">
        <f t="shared" si="19"/>
        <v>4.8576666666666667E-7</v>
      </c>
      <c r="F77" s="26">
        <v>21.1</v>
      </c>
      <c r="G77" s="26">
        <f t="shared" si="20"/>
        <v>294.10000000000002</v>
      </c>
      <c r="H77" s="26">
        <v>101.3</v>
      </c>
      <c r="I77" s="26">
        <f t="shared" si="21"/>
        <v>101300</v>
      </c>
      <c r="J77" s="26">
        <f t="shared" si="22"/>
        <v>2.0124824921938581E-5</v>
      </c>
      <c r="K77" s="20">
        <v>420.76237623762376</v>
      </c>
      <c r="L77" s="27">
        <f t="shared" si="23"/>
        <v>4.2076237623762377E-4</v>
      </c>
      <c r="M77" s="29">
        <f t="shared" si="31"/>
        <v>4.7762865441819992E-3</v>
      </c>
      <c r="N77" s="27">
        <f t="shared" si="24"/>
        <v>1.7728771247687451E-6</v>
      </c>
      <c r="O77" s="21">
        <f t="shared" si="32"/>
        <v>2.032E-3</v>
      </c>
      <c r="P77" s="21">
        <v>1.0571269522665299E-10</v>
      </c>
      <c r="Q77" s="2">
        <v>0.32</v>
      </c>
      <c r="R77" s="27">
        <f t="shared" si="25"/>
        <v>132000</v>
      </c>
      <c r="S77" s="2">
        <f t="shared" si="33"/>
        <v>5.2493374855265302E-3</v>
      </c>
      <c r="T77" s="11">
        <v>0.11</v>
      </c>
      <c r="U77" s="30">
        <f t="shared" si="26"/>
        <v>111000.00000000001</v>
      </c>
      <c r="V77" s="30">
        <f t="shared" si="27"/>
        <v>46.704623762376244</v>
      </c>
      <c r="W77" s="11">
        <f t="shared" si="28"/>
        <v>1673.8051717419098</v>
      </c>
      <c r="X77" s="9">
        <f t="shared" si="29"/>
        <v>7.1408747570240538E-14</v>
      </c>
      <c r="Y77" s="9">
        <f t="shared" si="30"/>
        <v>43002347786.798851</v>
      </c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</row>
    <row r="78" spans="1:76" s="4" customFormat="1" x14ac:dyDescent="0.3">
      <c r="A78" s="26">
        <v>228</v>
      </c>
      <c r="B78" s="26">
        <f t="shared" si="17"/>
        <v>3.8</v>
      </c>
      <c r="C78" s="26">
        <v>20</v>
      </c>
      <c r="D78" s="26">
        <f t="shared" si="18"/>
        <v>29.146000000000001</v>
      </c>
      <c r="E78" s="26">
        <f t="shared" si="19"/>
        <v>4.8576666666666667E-7</v>
      </c>
      <c r="F78" s="26">
        <v>21.1</v>
      </c>
      <c r="G78" s="26">
        <f t="shared" si="20"/>
        <v>294.10000000000002</v>
      </c>
      <c r="H78" s="26">
        <v>101.3</v>
      </c>
      <c r="I78" s="26">
        <f t="shared" si="21"/>
        <v>101300</v>
      </c>
      <c r="J78" s="26">
        <f t="shared" si="22"/>
        <v>2.0124824921938581E-5</v>
      </c>
      <c r="K78" s="20">
        <v>419.74752475247521</v>
      </c>
      <c r="L78" s="27">
        <f t="shared" si="23"/>
        <v>4.1974752475247519E-4</v>
      </c>
      <c r="M78" s="29">
        <f t="shared" si="31"/>
        <v>4.7762865441819992E-3</v>
      </c>
      <c r="N78" s="27">
        <f t="shared" si="24"/>
        <v>1.7686010604515274E-6</v>
      </c>
      <c r="O78" s="21">
        <f t="shared" si="32"/>
        <v>2.032E-3</v>
      </c>
      <c r="P78" s="21">
        <v>1.0571269522665299E-10</v>
      </c>
      <c r="Q78" s="2">
        <v>0.32</v>
      </c>
      <c r="R78" s="27">
        <f t="shared" si="25"/>
        <v>132000</v>
      </c>
      <c r="S78" s="2">
        <f t="shared" si="33"/>
        <v>5.2493374855265302E-3</v>
      </c>
      <c r="T78" s="11">
        <v>0.11</v>
      </c>
      <c r="U78" s="30">
        <f t="shared" si="26"/>
        <v>111000.00000000001</v>
      </c>
      <c r="V78" s="30">
        <f t="shared" si="27"/>
        <v>46.591975247524751</v>
      </c>
      <c r="W78" s="11">
        <f t="shared" si="28"/>
        <v>1666.413095330573</v>
      </c>
      <c r="X78" s="9">
        <f t="shared" si="29"/>
        <v>7.12324740234519E-14</v>
      </c>
      <c r="Y78" s="9">
        <f t="shared" si="30"/>
        <v>42896195856.922737</v>
      </c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</row>
    <row r="79" spans="1:76" s="4" customFormat="1" x14ac:dyDescent="0.3">
      <c r="A79" s="26">
        <v>231</v>
      </c>
      <c r="B79" s="26">
        <f t="shared" si="17"/>
        <v>3.85</v>
      </c>
      <c r="C79" s="26">
        <v>20</v>
      </c>
      <c r="D79" s="26">
        <f t="shared" si="18"/>
        <v>29.146000000000001</v>
      </c>
      <c r="E79" s="26">
        <f t="shared" si="19"/>
        <v>4.8576666666666667E-7</v>
      </c>
      <c r="F79" s="26">
        <v>21.1</v>
      </c>
      <c r="G79" s="26">
        <f t="shared" si="20"/>
        <v>294.10000000000002</v>
      </c>
      <c r="H79" s="26">
        <v>101.3</v>
      </c>
      <c r="I79" s="26">
        <f t="shared" si="21"/>
        <v>101300</v>
      </c>
      <c r="J79" s="26">
        <f t="shared" si="22"/>
        <v>2.0124824921938581E-5</v>
      </c>
      <c r="K79" s="20">
        <v>417.59405940594058</v>
      </c>
      <c r="L79" s="27">
        <f t="shared" si="23"/>
        <v>4.1759405940594059E-4</v>
      </c>
      <c r="M79" s="29">
        <f t="shared" si="31"/>
        <v>4.7762865441819992E-3</v>
      </c>
      <c r="N79" s="27">
        <f t="shared" si="24"/>
        <v>1.7595274605588951E-6</v>
      </c>
      <c r="O79" s="21">
        <f t="shared" si="32"/>
        <v>2.032E-3</v>
      </c>
      <c r="P79" s="21">
        <v>1.0571269522665299E-10</v>
      </c>
      <c r="Q79" s="2">
        <v>0.32</v>
      </c>
      <c r="R79" s="27">
        <f t="shared" si="25"/>
        <v>132000</v>
      </c>
      <c r="S79" s="2">
        <f t="shared" si="33"/>
        <v>5.2493374855265302E-3</v>
      </c>
      <c r="T79" s="11">
        <v>0.11</v>
      </c>
      <c r="U79" s="30">
        <f t="shared" si="26"/>
        <v>111000.00000000001</v>
      </c>
      <c r="V79" s="30">
        <f t="shared" si="27"/>
        <v>46.352940594059412</v>
      </c>
      <c r="W79" s="11">
        <f t="shared" si="28"/>
        <v>1650.7789675767535</v>
      </c>
      <c r="X79" s="9">
        <f t="shared" si="29"/>
        <v>7.0858524372981477E-14</v>
      </c>
      <c r="Y79" s="9">
        <f t="shared" si="30"/>
        <v>42671003377.409447</v>
      </c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</row>
    <row r="80" spans="1:76" s="4" customFormat="1" x14ac:dyDescent="0.3">
      <c r="A80" s="26">
        <v>234</v>
      </c>
      <c r="B80" s="26">
        <f t="shared" si="17"/>
        <v>3.9</v>
      </c>
      <c r="C80" s="26">
        <v>20</v>
      </c>
      <c r="D80" s="26">
        <f t="shared" si="18"/>
        <v>29.146000000000001</v>
      </c>
      <c r="E80" s="26">
        <f t="shared" si="19"/>
        <v>4.8576666666666667E-7</v>
      </c>
      <c r="F80" s="26">
        <v>21.1</v>
      </c>
      <c r="G80" s="26">
        <f t="shared" si="20"/>
        <v>294.10000000000002</v>
      </c>
      <c r="H80" s="26">
        <v>101.3</v>
      </c>
      <c r="I80" s="26">
        <f t="shared" si="21"/>
        <v>101300</v>
      </c>
      <c r="J80" s="26">
        <f t="shared" si="22"/>
        <v>2.0124824921938581E-5</v>
      </c>
      <c r="K80" s="20">
        <v>410.49009900990103</v>
      </c>
      <c r="L80" s="27">
        <f t="shared" si="23"/>
        <v>4.1049009900990104E-4</v>
      </c>
      <c r="M80" s="29">
        <f t="shared" si="31"/>
        <v>4.7762865441819992E-3</v>
      </c>
      <c r="N80" s="27">
        <f t="shared" si="24"/>
        <v>1.7295950103383721E-6</v>
      </c>
      <c r="O80" s="21">
        <f t="shared" si="32"/>
        <v>2.032E-3</v>
      </c>
      <c r="P80" s="21">
        <v>1.0571269522665299E-10</v>
      </c>
      <c r="Q80" s="2">
        <v>0.32</v>
      </c>
      <c r="R80" s="27">
        <f t="shared" si="25"/>
        <v>132000</v>
      </c>
      <c r="S80" s="2">
        <f t="shared" si="33"/>
        <v>5.2493374855265302E-3</v>
      </c>
      <c r="T80" s="11">
        <v>0.11</v>
      </c>
      <c r="U80" s="30">
        <f t="shared" si="26"/>
        <v>111000.00000000001</v>
      </c>
      <c r="V80" s="30">
        <f t="shared" si="27"/>
        <v>45.564400990099024</v>
      </c>
      <c r="W80" s="11">
        <f t="shared" si="28"/>
        <v>1599.7009622112375</v>
      </c>
      <c r="X80" s="9">
        <f t="shared" si="29"/>
        <v>6.9625821332800704E-14</v>
      </c>
      <c r="Y80" s="9">
        <f t="shared" si="30"/>
        <v>41928669606.612587</v>
      </c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</row>
    <row r="81" spans="1:76" s="4" customFormat="1" x14ac:dyDescent="0.3">
      <c r="A81" s="26">
        <v>237</v>
      </c>
      <c r="B81" s="26">
        <f t="shared" si="17"/>
        <v>3.95</v>
      </c>
      <c r="C81" s="26">
        <v>20</v>
      </c>
      <c r="D81" s="26">
        <f t="shared" si="18"/>
        <v>29.146000000000001</v>
      </c>
      <c r="E81" s="26">
        <f t="shared" si="19"/>
        <v>4.8576666666666667E-7</v>
      </c>
      <c r="F81" s="26">
        <v>21.1</v>
      </c>
      <c r="G81" s="26">
        <f t="shared" si="20"/>
        <v>294.10000000000002</v>
      </c>
      <c r="H81" s="26">
        <v>101.3</v>
      </c>
      <c r="I81" s="26">
        <f t="shared" si="21"/>
        <v>101300</v>
      </c>
      <c r="J81" s="26">
        <f t="shared" si="22"/>
        <v>2.0124824921938581E-5</v>
      </c>
      <c r="K81" s="20">
        <v>419.67326732673268</v>
      </c>
      <c r="L81" s="27">
        <f t="shared" si="23"/>
        <v>4.1967326732673271E-4</v>
      </c>
      <c r="M81" s="29">
        <f t="shared" si="31"/>
        <v>4.7762865441819992E-3</v>
      </c>
      <c r="N81" s="27">
        <f t="shared" si="24"/>
        <v>1.7682881776966093E-6</v>
      </c>
      <c r="O81" s="21">
        <f t="shared" si="32"/>
        <v>2.032E-3</v>
      </c>
      <c r="P81" s="21">
        <v>1.0571269522665299E-10</v>
      </c>
      <c r="Q81" s="2">
        <v>0.32</v>
      </c>
      <c r="R81" s="27">
        <f t="shared" si="25"/>
        <v>132000</v>
      </c>
      <c r="S81" s="2">
        <f t="shared" si="33"/>
        <v>5.2493374855265302E-3</v>
      </c>
      <c r="T81" s="11">
        <v>0.11</v>
      </c>
      <c r="U81" s="30">
        <f t="shared" si="26"/>
        <v>111000.00000000001</v>
      </c>
      <c r="V81" s="30">
        <f t="shared" si="27"/>
        <v>46.583732673267335</v>
      </c>
      <c r="W81" s="11">
        <f t="shared" si="28"/>
        <v>1665.872822051226</v>
      </c>
      <c r="X81" s="9">
        <f t="shared" si="29"/>
        <v>7.1219577077635038E-14</v>
      </c>
      <c r="Y81" s="9">
        <f t="shared" si="30"/>
        <v>42888429316.151825</v>
      </c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</row>
    <row r="82" spans="1:76" s="4" customFormat="1" x14ac:dyDescent="0.3">
      <c r="A82" s="26">
        <v>240</v>
      </c>
      <c r="B82" s="26">
        <f t="shared" si="17"/>
        <v>4</v>
      </c>
      <c r="C82" s="26">
        <v>20</v>
      </c>
      <c r="D82" s="26">
        <f t="shared" si="18"/>
        <v>29.146000000000001</v>
      </c>
      <c r="E82" s="26">
        <f t="shared" si="19"/>
        <v>4.8576666666666667E-7</v>
      </c>
      <c r="F82" s="26">
        <v>21.1</v>
      </c>
      <c r="G82" s="26">
        <f t="shared" si="20"/>
        <v>294.10000000000002</v>
      </c>
      <c r="H82" s="26">
        <v>101.3</v>
      </c>
      <c r="I82" s="26">
        <f t="shared" si="21"/>
        <v>101300</v>
      </c>
      <c r="J82" s="26">
        <f t="shared" si="22"/>
        <v>2.0124824921938581E-5</v>
      </c>
      <c r="K82" s="20">
        <v>413.38613861386142</v>
      </c>
      <c r="L82" s="27">
        <f t="shared" si="23"/>
        <v>4.133861386138614E-4</v>
      </c>
      <c r="M82" s="29">
        <f t="shared" si="31"/>
        <v>4.7762865441819992E-3</v>
      </c>
      <c r="N82" s="27">
        <f t="shared" si="24"/>
        <v>1.7417974377801878E-6</v>
      </c>
      <c r="O82" s="21">
        <f t="shared" si="32"/>
        <v>2.032E-3</v>
      </c>
      <c r="P82" s="21">
        <v>1.0571269522665299E-10</v>
      </c>
      <c r="Q82" s="2">
        <v>0.32</v>
      </c>
      <c r="R82" s="27">
        <f t="shared" si="25"/>
        <v>132000</v>
      </c>
      <c r="S82" s="2">
        <f t="shared" si="33"/>
        <v>5.2493374855265302E-3</v>
      </c>
      <c r="T82" s="11">
        <v>0.11</v>
      </c>
      <c r="U82" s="30">
        <f t="shared" si="26"/>
        <v>111000.00000000001</v>
      </c>
      <c r="V82" s="30">
        <f t="shared" si="27"/>
        <v>45.885861386138622</v>
      </c>
      <c r="W82" s="11">
        <f t="shared" si="28"/>
        <v>1620.4316424397391</v>
      </c>
      <c r="X82" s="9">
        <f t="shared" si="29"/>
        <v>7.0128185708197409E-14</v>
      </c>
      <c r="Y82" s="9">
        <f t="shared" si="30"/>
        <v>42231193433.476479</v>
      </c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</row>
    <row r="83" spans="1:76" s="4" customForma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4"/>
      <c r="L83" s="3"/>
      <c r="M83" s="3"/>
      <c r="N83" s="2"/>
      <c r="O83" s="21"/>
      <c r="P83" s="21"/>
      <c r="Q83" s="2"/>
      <c r="R83" s="2"/>
      <c r="S83" s="2"/>
      <c r="T83" s="11"/>
      <c r="U83" s="2"/>
      <c r="V83" s="11">
        <f>AVERAGE(V42:V82)</f>
        <v>46.187888070514376</v>
      </c>
      <c r="W83" s="5"/>
      <c r="X83" s="2"/>
      <c r="Y83" s="5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</row>
    <row r="84" spans="1:76" s="4" customForma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4"/>
      <c r="L84" s="3"/>
      <c r="M84" s="3"/>
      <c r="N84" s="2"/>
      <c r="O84" s="21"/>
      <c r="P84" s="21"/>
      <c r="Q84" s="2"/>
      <c r="R84" s="2"/>
      <c r="S84" s="2"/>
      <c r="T84" s="11"/>
      <c r="U84" s="2"/>
      <c r="V84" s="11"/>
      <c r="W84" s="5"/>
      <c r="X84" s="2"/>
      <c r="Y84" s="5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</row>
    <row r="85" spans="1:76" s="4" customForma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4"/>
      <c r="L85" s="3"/>
      <c r="M85" s="3"/>
      <c r="N85" s="2"/>
      <c r="O85" s="21"/>
      <c r="P85" s="21"/>
      <c r="Q85" s="2"/>
      <c r="R85" s="2"/>
      <c r="S85" s="2"/>
      <c r="T85" s="11"/>
      <c r="U85" s="2"/>
      <c r="V85" s="11"/>
      <c r="W85" s="5"/>
      <c r="X85" s="32">
        <f>AVERAGE(X42:X82)</f>
        <v>7.0601134405932557E-14</v>
      </c>
      <c r="Y85" s="32">
        <f>AVERAGE(Y42:Y82)</f>
        <v>42516003139.252594</v>
      </c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</row>
    <row r="86" spans="1:76" s="4" customForma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4"/>
      <c r="L86" s="3"/>
      <c r="M86" s="3"/>
      <c r="N86" s="2"/>
      <c r="O86" s="21"/>
      <c r="P86" s="21"/>
      <c r="Q86" s="2"/>
      <c r="R86" s="2"/>
      <c r="S86" s="2"/>
      <c r="T86" s="11"/>
      <c r="U86" s="2"/>
      <c r="V86" s="11"/>
      <c r="W86" s="5"/>
      <c r="X86" s="2"/>
      <c r="Y86" s="5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</row>
    <row r="87" spans="1:76" s="4" customForma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4"/>
      <c r="L87" s="3"/>
      <c r="M87" s="3"/>
      <c r="N87" s="2"/>
      <c r="O87" s="21"/>
      <c r="P87" s="21"/>
      <c r="Q87" s="2"/>
      <c r="R87" s="2"/>
      <c r="S87" s="2"/>
      <c r="T87" s="11"/>
      <c r="U87" s="2"/>
      <c r="V87" s="11"/>
      <c r="W87" s="5"/>
      <c r="X87" s="2"/>
      <c r="Y87" s="5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</row>
    <row r="88" spans="1:76" s="4" customForma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4"/>
      <c r="L88" s="3"/>
      <c r="M88" s="3"/>
      <c r="N88" s="2"/>
      <c r="O88" s="21"/>
      <c r="P88" s="21"/>
      <c r="Q88" s="2"/>
      <c r="R88" s="2"/>
      <c r="S88" s="2"/>
      <c r="T88" s="11"/>
      <c r="U88" s="2"/>
      <c r="V88" s="11"/>
      <c r="W88" s="5"/>
      <c r="X88" s="2"/>
      <c r="Y88" s="5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</row>
    <row r="89" spans="1:76" s="4" customForma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4"/>
      <c r="L89" s="3"/>
      <c r="M89" s="3"/>
      <c r="N89" s="2"/>
      <c r="O89" s="21"/>
      <c r="P89" s="21"/>
      <c r="Q89" s="2"/>
      <c r="R89" s="2"/>
      <c r="S89" s="2"/>
      <c r="T89" s="11"/>
      <c r="U89" s="2"/>
      <c r="V89" s="11"/>
      <c r="W89" s="5"/>
      <c r="X89" s="2"/>
      <c r="Y89" s="5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</row>
    <row r="90" spans="1:76" s="4" customForma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4"/>
      <c r="L90" s="3"/>
      <c r="M90" s="3"/>
      <c r="N90" s="2"/>
      <c r="O90" s="21"/>
      <c r="P90" s="21"/>
      <c r="Q90" s="2"/>
      <c r="R90" s="2"/>
      <c r="S90" s="2"/>
      <c r="T90" s="11"/>
      <c r="U90" s="2"/>
      <c r="V90" s="11"/>
      <c r="W90" s="5"/>
      <c r="X90" s="2"/>
      <c r="Y90" s="5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</row>
    <row r="91" spans="1:76" s="4" customForma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4"/>
      <c r="L91" s="3"/>
      <c r="M91" s="3"/>
      <c r="N91" s="2"/>
      <c r="O91" s="21"/>
      <c r="P91" s="21"/>
      <c r="Q91" s="2"/>
      <c r="R91" s="2"/>
      <c r="S91" s="2"/>
      <c r="T91" s="11"/>
      <c r="U91" s="2"/>
      <c r="V91" s="11"/>
      <c r="W91" s="5"/>
      <c r="X91" s="2"/>
      <c r="Y91" s="5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</row>
    <row r="92" spans="1:76" s="4" customForma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4"/>
      <c r="L92" s="3"/>
      <c r="M92" s="3"/>
      <c r="N92" s="2"/>
      <c r="O92" s="21"/>
      <c r="P92" s="21"/>
      <c r="Q92" s="2"/>
      <c r="R92" s="2"/>
      <c r="S92" s="2"/>
      <c r="T92" s="11"/>
      <c r="U92" s="2"/>
      <c r="V92" s="11"/>
      <c r="W92" s="5"/>
      <c r="X92" s="2"/>
      <c r="Y92" s="5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</row>
    <row r="93" spans="1:76" s="4" customForma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4"/>
      <c r="L93" s="3"/>
      <c r="M93" s="3"/>
      <c r="N93" s="2"/>
      <c r="O93" s="21"/>
      <c r="P93" s="21"/>
      <c r="Q93" s="2"/>
      <c r="R93" s="2"/>
      <c r="S93" s="2"/>
      <c r="T93" s="11"/>
      <c r="U93" s="2"/>
      <c r="V93" s="11"/>
      <c r="W93" s="5"/>
      <c r="X93" s="2"/>
      <c r="Y93" s="5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</row>
    <row r="94" spans="1:76" s="4" customForma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4"/>
      <c r="L94" s="3"/>
      <c r="M94" s="3"/>
      <c r="N94" s="2"/>
      <c r="O94" s="21"/>
      <c r="P94" s="21"/>
      <c r="Q94" s="2"/>
      <c r="R94" s="2"/>
      <c r="S94" s="2"/>
      <c r="T94" s="11"/>
      <c r="U94" s="2"/>
      <c r="V94" s="11"/>
      <c r="W94" s="5"/>
      <c r="X94" s="2"/>
      <c r="Y94" s="5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</row>
    <row r="95" spans="1:76" s="4" customForma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4"/>
      <c r="L95" s="3"/>
      <c r="M95" s="3"/>
      <c r="N95" s="2"/>
      <c r="O95" s="21"/>
      <c r="P95" s="21"/>
      <c r="Q95" s="2"/>
      <c r="R95" s="2"/>
      <c r="S95" s="2"/>
      <c r="T95" s="11"/>
      <c r="U95" s="2"/>
      <c r="V95" s="11"/>
      <c r="W95" s="5"/>
      <c r="X95" s="2"/>
      <c r="Y95" s="5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</row>
    <row r="96" spans="1:76" s="4" customForma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4"/>
      <c r="L96" s="3"/>
      <c r="M96" s="3"/>
      <c r="N96" s="2"/>
      <c r="O96" s="21"/>
      <c r="P96" s="21"/>
      <c r="Q96" s="2"/>
      <c r="R96" s="2"/>
      <c r="S96" s="2"/>
      <c r="T96" s="11"/>
      <c r="U96" s="2"/>
      <c r="V96" s="11"/>
      <c r="W96" s="5"/>
      <c r="X96" s="2"/>
      <c r="Y96" s="5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</row>
    <row r="97" spans="1:76" s="4" customForma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4"/>
      <c r="L97" s="3"/>
      <c r="M97" s="3"/>
      <c r="N97" s="2"/>
      <c r="O97" s="21"/>
      <c r="P97" s="21"/>
      <c r="Q97" s="2"/>
      <c r="R97" s="2"/>
      <c r="S97" s="2"/>
      <c r="T97" s="11"/>
      <c r="U97" s="2"/>
      <c r="V97" s="11"/>
      <c r="W97" s="5"/>
      <c r="X97" s="2"/>
      <c r="Y97" s="5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</row>
    <row r="98" spans="1:76" s="4" customForma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4"/>
      <c r="L98" s="3"/>
      <c r="M98" s="3"/>
      <c r="N98" s="2"/>
      <c r="O98" s="21"/>
      <c r="P98" s="21"/>
      <c r="Q98" s="2"/>
      <c r="R98" s="2"/>
      <c r="S98" s="2"/>
      <c r="T98" s="11"/>
      <c r="U98" s="2"/>
      <c r="V98" s="11"/>
      <c r="W98" s="5"/>
      <c r="X98" s="2"/>
      <c r="Y98" s="5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</row>
    <row r="99" spans="1:76" s="4" customForma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4"/>
      <c r="L99" s="3"/>
      <c r="M99" s="3"/>
      <c r="N99" s="2"/>
      <c r="O99" s="21"/>
      <c r="P99" s="21"/>
      <c r="Q99" s="2"/>
      <c r="R99" s="2"/>
      <c r="S99" s="2"/>
      <c r="T99" s="11"/>
      <c r="U99" s="2"/>
      <c r="V99" s="11"/>
      <c r="W99" s="5"/>
      <c r="X99" s="2"/>
      <c r="Y99" s="5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</row>
    <row r="100" spans="1:76" s="4" customForma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4"/>
      <c r="L100" s="3"/>
      <c r="M100" s="3"/>
      <c r="N100" s="2"/>
      <c r="O100" s="21"/>
      <c r="P100" s="21"/>
      <c r="Q100" s="2"/>
      <c r="R100" s="2"/>
      <c r="S100" s="2"/>
      <c r="T100" s="11"/>
      <c r="U100" s="2"/>
      <c r="V100" s="11"/>
      <c r="W100" s="5"/>
      <c r="X100" s="2"/>
      <c r="Y100" s="5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</row>
    <row r="101" spans="1:76" s="4" customForma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4"/>
      <c r="L101" s="3"/>
      <c r="M101" s="3"/>
      <c r="N101" s="2"/>
      <c r="O101" s="21"/>
      <c r="P101" s="21"/>
      <c r="Q101" s="2"/>
      <c r="R101" s="2"/>
      <c r="S101" s="2"/>
      <c r="T101" s="11"/>
      <c r="U101" s="2"/>
      <c r="V101" s="11"/>
      <c r="W101" s="5"/>
      <c r="X101" s="2"/>
      <c r="Y101" s="5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</row>
    <row r="102" spans="1:76" s="4" customForma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4"/>
      <c r="L102" s="3"/>
      <c r="M102" s="3"/>
      <c r="N102" s="2"/>
      <c r="O102" s="21"/>
      <c r="P102" s="21"/>
      <c r="Q102" s="2"/>
      <c r="R102" s="2"/>
      <c r="S102" s="2"/>
      <c r="T102" s="11"/>
      <c r="U102" s="2"/>
      <c r="V102" s="11"/>
      <c r="W102" s="5"/>
      <c r="X102" s="2"/>
      <c r="Y102" s="5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</row>
    <row r="103" spans="1:76" s="4" customForma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4"/>
      <c r="L103" s="3"/>
      <c r="M103" s="3"/>
      <c r="N103" s="27"/>
      <c r="O103" s="21"/>
      <c r="P103" s="21"/>
      <c r="Q103" s="2"/>
      <c r="R103" s="2"/>
      <c r="S103" s="2"/>
      <c r="T103" s="11"/>
      <c r="U103" s="2"/>
      <c r="V103" s="11"/>
      <c r="W103" s="5"/>
      <c r="X103" s="2"/>
      <c r="Y103" s="5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</row>
    <row r="104" spans="1:76" s="4" customForma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4"/>
      <c r="L104" s="3"/>
      <c r="M104" s="3"/>
      <c r="N104" s="2"/>
      <c r="O104" s="21"/>
      <c r="P104" s="21"/>
      <c r="Q104" s="2"/>
      <c r="R104" s="2"/>
      <c r="S104" s="2"/>
      <c r="T104" s="11"/>
      <c r="U104" s="2"/>
      <c r="V104" s="11"/>
      <c r="W104" s="5"/>
      <c r="X104" s="2"/>
      <c r="Y104" s="5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</row>
    <row r="105" spans="1:76" s="4" customForma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4"/>
      <c r="L105" s="3"/>
      <c r="M105" s="3"/>
      <c r="N105" s="2"/>
      <c r="O105" s="21"/>
      <c r="P105" s="21"/>
      <c r="Q105" s="2"/>
      <c r="R105" s="2"/>
      <c r="S105" s="2"/>
      <c r="T105" s="11"/>
      <c r="U105" s="2"/>
      <c r="V105" s="11"/>
      <c r="W105" s="5"/>
      <c r="X105" s="2"/>
      <c r="Y105" s="5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</row>
    <row r="106" spans="1:76" s="4" customForma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4"/>
      <c r="L106" s="3"/>
      <c r="M106" s="3"/>
      <c r="N106" s="2"/>
      <c r="O106" s="21"/>
      <c r="P106" s="21"/>
      <c r="Q106" s="2"/>
      <c r="R106" s="2"/>
      <c r="S106" s="2"/>
      <c r="T106" s="11"/>
      <c r="U106" s="2"/>
      <c r="V106" s="11"/>
      <c r="W106" s="5"/>
      <c r="X106" s="2"/>
      <c r="Y106" s="5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</row>
    <row r="107" spans="1:76" s="4" customForma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4"/>
      <c r="L107" s="3"/>
      <c r="M107" s="3"/>
      <c r="N107" s="2"/>
      <c r="O107" s="21"/>
      <c r="P107" s="21"/>
      <c r="Q107" s="2"/>
      <c r="R107" s="2"/>
      <c r="S107" s="2"/>
      <c r="T107" s="11"/>
      <c r="U107" s="2"/>
      <c r="V107" s="11"/>
      <c r="W107" s="5"/>
      <c r="X107" s="2"/>
      <c r="Y107" s="5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</row>
    <row r="108" spans="1:76" s="4" customForma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4"/>
      <c r="L108" s="3"/>
      <c r="M108" s="3"/>
      <c r="N108" s="2"/>
      <c r="O108" s="21"/>
      <c r="P108" s="21"/>
      <c r="Q108" s="2"/>
      <c r="R108" s="2"/>
      <c r="S108" s="2"/>
      <c r="T108" s="11"/>
      <c r="U108" s="2"/>
      <c r="V108" s="11"/>
      <c r="W108" s="5"/>
      <c r="X108" s="2"/>
      <c r="Y108" s="5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</row>
    <row r="109" spans="1:76" s="4" customForma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4"/>
      <c r="L109" s="3"/>
      <c r="M109" s="3"/>
      <c r="N109" s="2"/>
      <c r="O109" s="21"/>
      <c r="P109" s="21"/>
      <c r="Q109" s="2"/>
      <c r="R109" s="2"/>
      <c r="S109" s="2"/>
      <c r="T109" s="11"/>
      <c r="U109" s="2"/>
      <c r="V109" s="11"/>
      <c r="W109" s="5"/>
      <c r="X109" s="2"/>
      <c r="Y109" s="5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</row>
    <row r="110" spans="1:76" s="4" customForma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4"/>
      <c r="L110" s="3"/>
      <c r="M110" s="3"/>
      <c r="N110" s="2"/>
      <c r="O110" s="21"/>
      <c r="P110" s="21"/>
      <c r="Q110" s="2"/>
      <c r="R110" s="2"/>
      <c r="S110" s="2"/>
      <c r="T110" s="11"/>
      <c r="U110" s="2"/>
      <c r="V110" s="11"/>
      <c r="W110" s="5"/>
      <c r="X110" s="2"/>
      <c r="Y110" s="5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</row>
    <row r="111" spans="1:76" s="4" customForma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4"/>
      <c r="L111" s="3"/>
      <c r="M111" s="3"/>
      <c r="N111" s="2"/>
      <c r="O111" s="21"/>
      <c r="P111" s="21"/>
      <c r="Q111" s="2"/>
      <c r="R111" s="2"/>
      <c r="S111" s="2"/>
      <c r="T111" s="11"/>
      <c r="U111" s="2"/>
      <c r="V111" s="11"/>
      <c r="W111" s="5"/>
      <c r="X111" s="2"/>
      <c r="Y111" s="5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</row>
    <row r="112" spans="1:76" s="4" customForma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4"/>
      <c r="L112" s="3"/>
      <c r="M112" s="3"/>
      <c r="N112" s="2"/>
      <c r="O112" s="21"/>
      <c r="P112" s="21"/>
      <c r="Q112" s="2"/>
      <c r="R112" s="2"/>
      <c r="S112" s="2"/>
      <c r="T112" s="11"/>
      <c r="U112" s="2"/>
      <c r="V112" s="11"/>
      <c r="W112" s="5"/>
      <c r="X112" s="2"/>
      <c r="Y112" s="5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</row>
    <row r="113" spans="1:76" s="4" customForma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4"/>
      <c r="L113" s="3"/>
      <c r="M113" s="3"/>
      <c r="N113" s="2"/>
      <c r="O113" s="21"/>
      <c r="P113" s="21"/>
      <c r="Q113" s="2"/>
      <c r="R113" s="2"/>
      <c r="S113" s="2"/>
      <c r="T113" s="11"/>
      <c r="U113" s="2"/>
      <c r="V113" s="11"/>
      <c r="W113" s="5"/>
      <c r="X113" s="2"/>
      <c r="Y113" s="5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</row>
    <row r="114" spans="1:76" s="4" customForma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4"/>
      <c r="L114" s="3"/>
      <c r="M114" s="3"/>
      <c r="N114" s="2"/>
      <c r="O114" s="21"/>
      <c r="P114" s="21"/>
      <c r="Q114" s="2"/>
      <c r="R114" s="2"/>
      <c r="S114" s="2"/>
      <c r="T114" s="11"/>
      <c r="U114" s="2"/>
      <c r="V114" s="11"/>
      <c r="W114" s="5"/>
      <c r="X114" s="2"/>
      <c r="Y114" s="5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</row>
    <row r="115" spans="1:76" s="4" customForma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4"/>
      <c r="L115" s="3"/>
      <c r="M115" s="3"/>
      <c r="N115" s="2"/>
      <c r="O115" s="21"/>
      <c r="P115" s="21"/>
      <c r="Q115" s="2"/>
      <c r="R115" s="2"/>
      <c r="S115" s="2"/>
      <c r="T115" s="11"/>
      <c r="U115" s="2"/>
      <c r="V115" s="11"/>
      <c r="W115" s="5"/>
      <c r="X115" s="2"/>
      <c r="Y115" s="5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</row>
    <row r="116" spans="1:76" s="4" customForma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4"/>
      <c r="L116" s="3"/>
      <c r="M116" s="3"/>
      <c r="N116" s="2"/>
      <c r="O116" s="21"/>
      <c r="P116" s="21"/>
      <c r="Q116" s="2"/>
      <c r="R116" s="2"/>
      <c r="S116" s="2"/>
      <c r="T116" s="11"/>
      <c r="U116" s="2"/>
      <c r="V116" s="11"/>
      <c r="W116" s="5"/>
      <c r="X116" s="2"/>
      <c r="Y116" s="5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</row>
    <row r="117" spans="1:76" s="4" customForma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4"/>
      <c r="L117" s="3"/>
      <c r="M117" s="3"/>
      <c r="N117" s="2"/>
      <c r="O117" s="21"/>
      <c r="P117" s="21"/>
      <c r="Q117" s="2"/>
      <c r="R117" s="2"/>
      <c r="S117" s="2"/>
      <c r="T117" s="11"/>
      <c r="U117" s="2"/>
      <c r="V117" s="11"/>
      <c r="W117" s="5"/>
      <c r="X117" s="2"/>
      <c r="Y117" s="5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</row>
    <row r="118" spans="1:76" s="4" customForma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4"/>
      <c r="L118" s="3"/>
      <c r="M118" s="3"/>
      <c r="N118" s="2"/>
      <c r="O118" s="21"/>
      <c r="P118" s="21"/>
      <c r="Q118" s="2"/>
      <c r="R118" s="2"/>
      <c r="S118" s="2"/>
      <c r="T118" s="11"/>
      <c r="U118" s="2"/>
      <c r="V118" s="11"/>
      <c r="W118" s="5"/>
      <c r="X118" s="2"/>
      <c r="Y118" s="5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</row>
    <row r="119" spans="1:76" s="4" customForma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4"/>
      <c r="L119" s="3"/>
      <c r="M119" s="3"/>
      <c r="N119" s="2"/>
      <c r="O119" s="21"/>
      <c r="P119" s="21"/>
      <c r="Q119" s="2"/>
      <c r="R119" s="2"/>
      <c r="S119" s="2"/>
      <c r="T119" s="11"/>
      <c r="U119" s="2"/>
      <c r="V119" s="11"/>
      <c r="W119" s="5"/>
      <c r="X119" s="2"/>
      <c r="Y119" s="5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</row>
    <row r="120" spans="1:76" s="4" customForma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4"/>
      <c r="L120" s="3"/>
      <c r="M120" s="3"/>
      <c r="N120" s="2"/>
      <c r="O120" s="21"/>
      <c r="P120" s="21"/>
      <c r="Q120" s="2"/>
      <c r="R120" s="2"/>
      <c r="S120" s="2"/>
      <c r="T120" s="11"/>
      <c r="U120" s="2"/>
      <c r="V120" s="11"/>
      <c r="W120" s="5"/>
      <c r="X120" s="2"/>
      <c r="Y120" s="5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</row>
    <row r="121" spans="1:76" s="4" customForma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4"/>
      <c r="L121" s="3"/>
      <c r="M121" s="3"/>
      <c r="N121" s="2"/>
      <c r="O121" s="21"/>
      <c r="P121" s="21"/>
      <c r="Q121" s="2"/>
      <c r="R121" s="2"/>
      <c r="S121" s="2"/>
      <c r="T121" s="11"/>
      <c r="U121" s="2"/>
      <c r="V121" s="11"/>
      <c r="W121" s="5"/>
      <c r="X121" s="2"/>
      <c r="Y121" s="5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</row>
    <row r="122" spans="1:76" s="4" customForma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4"/>
      <c r="L122" s="3"/>
      <c r="M122" s="3"/>
      <c r="N122" s="2"/>
      <c r="O122" s="21"/>
      <c r="P122" s="21"/>
      <c r="Q122" s="2"/>
      <c r="R122" s="2"/>
      <c r="S122" s="2"/>
      <c r="T122" s="11"/>
      <c r="U122" s="2"/>
      <c r="V122" s="11"/>
      <c r="W122" s="5"/>
      <c r="X122" s="2"/>
      <c r="Y122" s="5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</row>
    <row r="123" spans="1:76" s="4" customForma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4"/>
      <c r="L123" s="3"/>
      <c r="M123" s="3"/>
      <c r="N123" s="2"/>
      <c r="O123" s="21"/>
      <c r="P123" s="21"/>
      <c r="Q123" s="2"/>
      <c r="R123" s="2"/>
      <c r="S123" s="2"/>
      <c r="T123" s="11"/>
      <c r="U123" s="2"/>
      <c r="V123" s="11"/>
      <c r="W123" s="5"/>
      <c r="X123" s="2"/>
      <c r="Y123" s="5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</row>
    <row r="124" spans="1:76" s="4" customForma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4"/>
      <c r="L124" s="3"/>
      <c r="M124" s="3"/>
      <c r="N124" s="2"/>
      <c r="O124" s="21"/>
      <c r="P124" s="21"/>
      <c r="Q124" s="2"/>
      <c r="R124" s="2"/>
      <c r="S124" s="2"/>
      <c r="T124" s="11"/>
      <c r="U124" s="2"/>
      <c r="V124" s="11"/>
      <c r="W124" s="5"/>
      <c r="X124" s="2"/>
      <c r="Y124" s="5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</row>
    <row r="125" spans="1:76" s="4" customForma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4"/>
      <c r="L125" s="3"/>
      <c r="M125" s="3"/>
      <c r="N125" s="2"/>
      <c r="O125" s="21"/>
      <c r="P125" s="21"/>
      <c r="Q125" s="2"/>
      <c r="R125" s="2"/>
      <c r="S125" s="2"/>
      <c r="T125" s="11"/>
      <c r="U125" s="2"/>
      <c r="V125" s="11"/>
      <c r="W125" s="5"/>
      <c r="X125" s="2"/>
      <c r="Y125" s="5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</row>
    <row r="126" spans="1:76" s="4" customForma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4"/>
      <c r="L126" s="3"/>
      <c r="M126" s="3"/>
      <c r="N126" s="2"/>
      <c r="O126" s="21"/>
      <c r="P126" s="21"/>
      <c r="Q126" s="2"/>
      <c r="R126" s="2"/>
      <c r="S126" s="2"/>
      <c r="T126" s="11"/>
      <c r="U126" s="2"/>
      <c r="V126" s="11"/>
      <c r="W126" s="5"/>
      <c r="X126" s="2"/>
      <c r="Y126" s="5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</row>
    <row r="127" spans="1:76" s="4" customForma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4"/>
      <c r="L127" s="3"/>
      <c r="M127" s="3"/>
      <c r="N127" s="2"/>
      <c r="O127" s="21"/>
      <c r="P127" s="21"/>
      <c r="Q127" s="2"/>
      <c r="R127" s="2"/>
      <c r="S127" s="2"/>
      <c r="T127" s="11"/>
      <c r="U127" s="2"/>
      <c r="V127" s="11"/>
      <c r="W127" s="5"/>
      <c r="X127" s="2"/>
      <c r="Y127" s="5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</row>
    <row r="128" spans="1:76" s="4" customForma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4"/>
      <c r="L128" s="3"/>
      <c r="M128" s="3"/>
      <c r="N128" s="2"/>
      <c r="O128" s="21"/>
      <c r="P128" s="21"/>
      <c r="Q128" s="2"/>
      <c r="R128" s="2"/>
      <c r="S128" s="2"/>
      <c r="T128" s="11"/>
      <c r="U128" s="2"/>
      <c r="V128" s="11"/>
      <c r="W128" s="5"/>
      <c r="X128" s="2"/>
      <c r="Y128" s="5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</row>
    <row r="129" spans="1:76" s="4" customForma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4"/>
      <c r="L129" s="3"/>
      <c r="M129" s="3"/>
      <c r="N129" s="2"/>
      <c r="O129" s="21"/>
      <c r="P129" s="21"/>
      <c r="Q129" s="2"/>
      <c r="R129" s="2"/>
      <c r="S129" s="2"/>
      <c r="T129" s="11"/>
      <c r="U129" s="2"/>
      <c r="V129" s="11"/>
      <c r="W129" s="5"/>
      <c r="X129" s="2"/>
      <c r="Y129" s="5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</row>
    <row r="130" spans="1:76" s="4" customForma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4"/>
      <c r="L130" s="3"/>
      <c r="M130" s="3"/>
      <c r="N130" s="2"/>
      <c r="O130" s="21"/>
      <c r="P130" s="21"/>
      <c r="Q130" s="2"/>
      <c r="R130" s="2"/>
      <c r="S130" s="2"/>
      <c r="T130" s="11"/>
      <c r="U130" s="2"/>
      <c r="V130" s="11"/>
      <c r="W130" s="5"/>
      <c r="X130" s="2"/>
      <c r="Y130" s="5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</row>
    <row r="131" spans="1:76" s="4" customForma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4"/>
      <c r="L131" s="3"/>
      <c r="M131" s="3"/>
      <c r="N131" s="2"/>
      <c r="O131" s="21"/>
      <c r="P131" s="21"/>
      <c r="Q131" s="2"/>
      <c r="R131" s="2"/>
      <c r="S131" s="2"/>
      <c r="T131" s="11"/>
      <c r="U131" s="2"/>
      <c r="V131" s="11"/>
      <c r="W131" s="5"/>
      <c r="X131" s="2"/>
      <c r="Y131" s="5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</row>
    <row r="132" spans="1:76" s="4" customForma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4"/>
      <c r="L132" s="3"/>
      <c r="M132" s="3"/>
      <c r="N132" s="2"/>
      <c r="O132" s="21"/>
      <c r="P132" s="21"/>
      <c r="Q132" s="2"/>
      <c r="R132" s="2"/>
      <c r="S132" s="2"/>
      <c r="T132" s="11"/>
      <c r="U132" s="2"/>
      <c r="V132" s="11"/>
      <c r="W132" s="5"/>
      <c r="X132" s="2"/>
      <c r="Y132" s="5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</row>
    <row r="133" spans="1:76" s="4" customForma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4"/>
      <c r="L133" s="3"/>
      <c r="M133" s="3"/>
      <c r="N133" s="2"/>
      <c r="O133" s="21"/>
      <c r="P133" s="21"/>
      <c r="Q133" s="2"/>
      <c r="R133" s="2"/>
      <c r="S133" s="2"/>
      <c r="T133" s="11"/>
      <c r="U133" s="2"/>
      <c r="V133" s="11"/>
      <c r="W133" s="5"/>
      <c r="X133" s="2"/>
      <c r="Y133" s="5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</row>
    <row r="134" spans="1:76" s="4" customForma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4"/>
      <c r="L134" s="3"/>
      <c r="M134" s="3"/>
      <c r="N134" s="2"/>
      <c r="O134" s="21"/>
      <c r="P134" s="21"/>
      <c r="Q134" s="2"/>
      <c r="R134" s="2"/>
      <c r="S134" s="2"/>
      <c r="T134" s="11"/>
      <c r="U134" s="2"/>
      <c r="V134" s="11"/>
      <c r="W134" s="5"/>
      <c r="X134" s="2"/>
      <c r="Y134" s="5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</row>
    <row r="135" spans="1:76" s="4" customForma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4"/>
      <c r="L135" s="3"/>
      <c r="M135" s="3"/>
      <c r="N135" s="2"/>
      <c r="O135" s="21"/>
      <c r="P135" s="21"/>
      <c r="Q135" s="2"/>
      <c r="R135" s="2"/>
      <c r="S135" s="2"/>
      <c r="T135" s="11"/>
      <c r="U135" s="2"/>
      <c r="V135" s="11"/>
      <c r="W135" s="5"/>
      <c r="X135" s="2"/>
      <c r="Y135" s="5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</row>
    <row r="136" spans="1:76" s="4" customForma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4"/>
      <c r="L136" s="3"/>
      <c r="M136" s="3"/>
      <c r="N136" s="2"/>
      <c r="O136" s="21"/>
      <c r="P136" s="21"/>
      <c r="Q136" s="2"/>
      <c r="R136" s="2"/>
      <c r="S136" s="2"/>
      <c r="T136" s="11"/>
      <c r="U136" s="2"/>
      <c r="V136" s="11"/>
      <c r="W136" s="5"/>
      <c r="X136" s="2"/>
      <c r="Y136" s="5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</row>
    <row r="137" spans="1:76" s="4" customForma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4"/>
      <c r="L137" s="3"/>
      <c r="M137" s="3"/>
      <c r="N137" s="2"/>
      <c r="O137" s="21"/>
      <c r="P137" s="21"/>
      <c r="Q137" s="2"/>
      <c r="R137" s="2"/>
      <c r="S137" s="2"/>
      <c r="T137" s="11"/>
      <c r="U137" s="2"/>
      <c r="V137" s="11"/>
      <c r="W137" s="5"/>
      <c r="X137" s="2"/>
      <c r="Y137" s="5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</row>
    <row r="138" spans="1:76" s="4" customForma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4"/>
      <c r="L138" s="3"/>
      <c r="M138" s="3"/>
      <c r="N138" s="2"/>
      <c r="O138" s="21"/>
      <c r="P138" s="21"/>
      <c r="Q138" s="2"/>
      <c r="R138" s="2"/>
      <c r="S138" s="2"/>
      <c r="T138" s="11"/>
      <c r="U138" s="2"/>
      <c r="V138" s="11"/>
      <c r="W138" s="5"/>
      <c r="X138" s="2"/>
      <c r="Y138" s="5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1:76" s="4" customForma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4"/>
      <c r="L139" s="3"/>
      <c r="M139" s="3"/>
      <c r="N139" s="2"/>
      <c r="O139" s="21"/>
      <c r="P139" s="21"/>
      <c r="Q139" s="2"/>
      <c r="R139" s="2"/>
      <c r="S139" s="2"/>
      <c r="T139" s="11"/>
      <c r="U139" s="2"/>
      <c r="V139" s="11"/>
      <c r="W139" s="5"/>
      <c r="X139" s="2"/>
      <c r="Y139" s="5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1:76" s="4" customForma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4"/>
      <c r="L140" s="3"/>
      <c r="M140" s="3"/>
      <c r="N140" s="2"/>
      <c r="O140" s="21"/>
      <c r="P140" s="21"/>
      <c r="Q140" s="2"/>
      <c r="R140" s="2"/>
      <c r="S140" s="2"/>
      <c r="T140" s="11"/>
      <c r="U140" s="2"/>
      <c r="V140" s="11"/>
      <c r="W140" s="5"/>
      <c r="X140" s="2"/>
      <c r="Y140" s="5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1:76" s="4" customForma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4"/>
      <c r="L141" s="3"/>
      <c r="M141" s="3"/>
      <c r="N141" s="2"/>
      <c r="O141" s="21"/>
      <c r="P141" s="21"/>
      <c r="Q141" s="2"/>
      <c r="R141" s="2"/>
      <c r="S141" s="2"/>
      <c r="T141" s="11"/>
      <c r="U141" s="2"/>
      <c r="V141" s="11"/>
      <c r="W141" s="5"/>
      <c r="X141" s="2"/>
      <c r="Y141" s="5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</row>
    <row r="142" spans="1:76" s="4" customForma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4"/>
      <c r="L142" s="3"/>
      <c r="M142" s="3"/>
      <c r="N142" s="2"/>
      <c r="O142" s="21"/>
      <c r="P142" s="21"/>
      <c r="Q142" s="2"/>
      <c r="R142" s="2"/>
      <c r="S142" s="2"/>
      <c r="T142" s="11"/>
      <c r="U142" s="2"/>
      <c r="V142" s="11"/>
      <c r="W142" s="5"/>
      <c r="X142" s="2"/>
      <c r="Y142" s="5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</row>
    <row r="143" spans="1:76" s="4" customForma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4"/>
      <c r="L143" s="3"/>
      <c r="M143" s="3"/>
      <c r="N143" s="2"/>
      <c r="O143" s="21"/>
      <c r="P143" s="21"/>
      <c r="Q143" s="2"/>
      <c r="R143" s="2"/>
      <c r="S143" s="2"/>
      <c r="T143" s="11"/>
      <c r="U143" s="2"/>
      <c r="V143" s="11"/>
      <c r="W143" s="5"/>
      <c r="X143" s="2"/>
      <c r="Y143" s="5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</row>
    <row r="144" spans="1:76" s="4" customForma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4"/>
      <c r="L144" s="3"/>
      <c r="M144" s="3"/>
      <c r="N144" s="8"/>
      <c r="O144" s="23"/>
      <c r="P144" s="23"/>
      <c r="Q144" s="8"/>
      <c r="R144" s="8"/>
      <c r="S144" s="8"/>
      <c r="T144" s="13"/>
      <c r="U144" s="8"/>
      <c r="V144" s="13"/>
      <c r="W144" s="19"/>
      <c r="X144" s="8"/>
      <c r="Y144" s="19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</row>
    <row r="145" spans="1:76" s="4" customForma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4"/>
      <c r="L145" s="3"/>
      <c r="M145" s="3"/>
      <c r="N145" s="8"/>
      <c r="O145" s="23"/>
      <c r="P145" s="23"/>
      <c r="Q145" s="8"/>
      <c r="R145" s="8"/>
      <c r="S145" s="8"/>
      <c r="T145" s="13"/>
      <c r="U145" s="8"/>
      <c r="V145" s="13"/>
      <c r="W145" s="19"/>
      <c r="X145" s="8"/>
      <c r="Y145" s="19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</row>
    <row r="146" spans="1:76" s="4" customForma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4"/>
      <c r="L146" s="3"/>
      <c r="M146" s="3"/>
      <c r="N146" s="8"/>
      <c r="O146" s="23"/>
      <c r="P146" s="23"/>
      <c r="Q146" s="8"/>
      <c r="R146" s="8"/>
      <c r="S146" s="8"/>
      <c r="T146" s="13"/>
      <c r="U146" s="8"/>
      <c r="V146" s="13"/>
      <c r="W146" s="19"/>
      <c r="X146" s="8"/>
      <c r="Y146" s="19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</row>
    <row r="147" spans="1:76" s="4" customForma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4"/>
      <c r="L147" s="3"/>
      <c r="M147" s="3"/>
      <c r="N147" s="8"/>
      <c r="O147" s="23"/>
      <c r="P147" s="23"/>
      <c r="Q147" s="8"/>
      <c r="R147" s="8"/>
      <c r="S147" s="8"/>
      <c r="T147" s="13"/>
      <c r="U147" s="8"/>
      <c r="V147" s="13"/>
      <c r="W147" s="19"/>
      <c r="X147" s="8"/>
      <c r="Y147" s="19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</row>
    <row r="148" spans="1:76" s="4" customForma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4"/>
      <c r="L148" s="3"/>
      <c r="M148" s="3"/>
      <c r="N148" s="8"/>
      <c r="O148" s="23"/>
      <c r="P148" s="23"/>
      <c r="Q148" s="8"/>
      <c r="R148" s="8"/>
      <c r="S148" s="8"/>
      <c r="T148" s="13"/>
      <c r="U148" s="8"/>
      <c r="V148" s="13"/>
      <c r="W148" s="19"/>
      <c r="X148" s="8"/>
      <c r="Y148" s="19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</row>
    <row r="149" spans="1:76" s="4" customForma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4"/>
      <c r="L149" s="3"/>
      <c r="M149" s="3"/>
      <c r="N149" s="8"/>
      <c r="O149" s="23"/>
      <c r="P149" s="23"/>
      <c r="Q149" s="8"/>
      <c r="R149" s="8"/>
      <c r="S149" s="8"/>
      <c r="T149" s="13"/>
      <c r="U149" s="8"/>
      <c r="V149" s="13"/>
      <c r="W149" s="19"/>
      <c r="X149" s="8"/>
      <c r="Y149" s="19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</row>
    <row r="150" spans="1:76" s="4" customForma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4"/>
      <c r="L150" s="3"/>
      <c r="M150" s="3"/>
      <c r="N150" s="8"/>
      <c r="O150" s="23"/>
      <c r="P150" s="23"/>
      <c r="Q150" s="8"/>
      <c r="R150" s="8"/>
      <c r="S150" s="8"/>
      <c r="T150" s="13"/>
      <c r="U150" s="8"/>
      <c r="V150" s="13"/>
      <c r="W150" s="19"/>
      <c r="X150" s="8"/>
      <c r="Y150" s="19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</row>
    <row r="151" spans="1:76" s="4" customForma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4"/>
      <c r="L151" s="3"/>
      <c r="M151" s="3"/>
      <c r="N151" s="8"/>
      <c r="O151" s="23"/>
      <c r="P151" s="23"/>
      <c r="Q151" s="8"/>
      <c r="R151" s="8"/>
      <c r="S151" s="8"/>
      <c r="T151" s="13"/>
      <c r="U151" s="8"/>
      <c r="V151" s="13"/>
      <c r="W151" s="19"/>
      <c r="X151" s="8"/>
      <c r="Y151" s="19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</row>
    <row r="152" spans="1:76" s="4" customForma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4"/>
      <c r="L152" s="3"/>
      <c r="M152" s="3"/>
      <c r="N152" s="8"/>
      <c r="O152" s="23"/>
      <c r="P152" s="23"/>
      <c r="Q152" s="8"/>
      <c r="R152" s="8"/>
      <c r="S152" s="8"/>
      <c r="T152" s="13"/>
      <c r="U152" s="8"/>
      <c r="V152" s="13"/>
      <c r="W152" s="19"/>
      <c r="X152" s="8"/>
      <c r="Y152" s="19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</row>
    <row r="153" spans="1:76" s="4" customForma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4"/>
      <c r="L153" s="3"/>
      <c r="M153" s="3"/>
      <c r="N153" s="8"/>
      <c r="O153" s="23"/>
      <c r="P153" s="23"/>
      <c r="Q153" s="8"/>
      <c r="R153" s="8"/>
      <c r="S153" s="8"/>
      <c r="T153" s="13"/>
      <c r="U153" s="8"/>
      <c r="V153" s="13"/>
      <c r="W153" s="19"/>
      <c r="X153" s="8"/>
      <c r="Y153" s="19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</row>
    <row r="154" spans="1:76" s="4" customForma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4"/>
      <c r="L154" s="3"/>
      <c r="M154" s="3"/>
      <c r="N154" s="8"/>
      <c r="O154" s="23"/>
      <c r="P154" s="23"/>
      <c r="Q154" s="8"/>
      <c r="R154" s="8"/>
      <c r="S154" s="8"/>
      <c r="T154" s="13"/>
      <c r="U154" s="8"/>
      <c r="V154" s="13"/>
      <c r="W154" s="19"/>
      <c r="X154" s="8"/>
      <c r="Y154" s="19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</row>
    <row r="155" spans="1:76" s="4" customForma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4"/>
      <c r="L155" s="3"/>
      <c r="M155" s="3"/>
      <c r="N155" s="8"/>
      <c r="O155" s="23"/>
      <c r="P155" s="23"/>
      <c r="Q155" s="8"/>
      <c r="R155" s="8"/>
      <c r="S155" s="8"/>
      <c r="T155" s="13"/>
      <c r="U155" s="8"/>
      <c r="V155" s="13"/>
      <c r="W155" s="19"/>
      <c r="X155" s="8"/>
      <c r="Y155" s="19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</row>
    <row r="156" spans="1:76" s="4" customForma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4"/>
      <c r="L156" s="3"/>
      <c r="M156" s="3"/>
      <c r="N156" s="8"/>
      <c r="O156" s="23"/>
      <c r="P156" s="23"/>
      <c r="Q156" s="8"/>
      <c r="R156" s="8"/>
      <c r="S156" s="8"/>
      <c r="T156" s="13"/>
      <c r="U156" s="8"/>
      <c r="V156" s="13"/>
      <c r="W156" s="19"/>
      <c r="X156" s="8"/>
      <c r="Y156" s="19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</row>
    <row r="157" spans="1:76" s="4" customForma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4"/>
      <c r="L157" s="3"/>
      <c r="M157" s="3"/>
      <c r="N157" s="8"/>
      <c r="O157" s="23"/>
      <c r="P157" s="23"/>
      <c r="Q157" s="8"/>
      <c r="R157" s="8"/>
      <c r="S157" s="8"/>
      <c r="T157" s="13"/>
      <c r="U157" s="8"/>
      <c r="V157" s="13"/>
      <c r="W157" s="19"/>
      <c r="X157" s="8"/>
      <c r="Y157" s="19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</row>
    <row r="158" spans="1:76" s="4" customForma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4"/>
      <c r="L158" s="3"/>
      <c r="M158" s="3"/>
      <c r="N158" s="8"/>
      <c r="O158" s="23"/>
      <c r="P158" s="23"/>
      <c r="Q158" s="8"/>
      <c r="R158" s="8"/>
      <c r="S158" s="8"/>
      <c r="T158" s="13"/>
      <c r="U158" s="8"/>
      <c r="V158" s="13"/>
      <c r="W158" s="19"/>
      <c r="X158" s="8"/>
      <c r="Y158" s="19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</row>
    <row r="159" spans="1:76" s="4" customForma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4"/>
      <c r="L159" s="3"/>
      <c r="M159" s="3"/>
      <c r="N159" s="8"/>
      <c r="O159" s="23"/>
      <c r="P159" s="23"/>
      <c r="Q159" s="8"/>
      <c r="R159" s="8"/>
      <c r="S159" s="8"/>
      <c r="T159" s="13"/>
      <c r="U159" s="8"/>
      <c r="V159" s="13"/>
      <c r="W159" s="19"/>
      <c r="X159" s="8"/>
      <c r="Y159" s="19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</row>
    <row r="160" spans="1:76" s="4" customForma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4"/>
      <c r="L160" s="3"/>
      <c r="M160" s="3"/>
      <c r="N160" s="8"/>
      <c r="O160" s="23"/>
      <c r="P160" s="23"/>
      <c r="Q160" s="8"/>
      <c r="R160" s="8"/>
      <c r="S160" s="8"/>
      <c r="T160" s="13"/>
      <c r="U160" s="8"/>
      <c r="V160" s="13"/>
      <c r="W160" s="19"/>
      <c r="X160" s="8"/>
      <c r="Y160" s="19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</row>
    <row r="161" spans="1:76" s="4" customForma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4"/>
      <c r="L161" s="3"/>
      <c r="M161" s="3"/>
      <c r="N161" s="8"/>
      <c r="O161" s="23"/>
      <c r="P161" s="23"/>
      <c r="Q161" s="8"/>
      <c r="R161" s="8"/>
      <c r="S161" s="8"/>
      <c r="T161" s="13"/>
      <c r="U161" s="8"/>
      <c r="V161" s="13"/>
      <c r="W161" s="19"/>
      <c r="X161" s="8"/>
      <c r="Y161" s="19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</row>
    <row r="162" spans="1:76" s="4" customForma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4"/>
      <c r="L162" s="3"/>
      <c r="M162" s="3"/>
      <c r="N162" s="8"/>
      <c r="O162" s="23"/>
      <c r="P162" s="23"/>
      <c r="Q162" s="8"/>
      <c r="R162" s="8"/>
      <c r="S162" s="8"/>
      <c r="T162" s="13"/>
      <c r="U162" s="8"/>
      <c r="V162" s="13"/>
      <c r="W162" s="19"/>
      <c r="X162" s="8"/>
      <c r="Y162" s="19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</row>
    <row r="163" spans="1:76" s="4" customForma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4"/>
      <c r="L163" s="3"/>
      <c r="M163" s="3"/>
      <c r="N163" s="8"/>
      <c r="O163" s="23"/>
      <c r="P163" s="23"/>
      <c r="Q163" s="8"/>
      <c r="R163" s="8"/>
      <c r="S163" s="8"/>
      <c r="T163" s="13"/>
      <c r="U163" s="8"/>
      <c r="V163" s="13"/>
      <c r="W163" s="19"/>
      <c r="X163" s="8"/>
      <c r="Y163" s="19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</row>
    <row r="164" spans="1:76" s="4" customForma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4"/>
      <c r="L164" s="3"/>
      <c r="M164" s="3"/>
      <c r="N164" s="8"/>
      <c r="O164" s="23"/>
      <c r="P164" s="23"/>
      <c r="Q164" s="8"/>
      <c r="R164" s="8"/>
      <c r="S164" s="8"/>
      <c r="T164" s="13"/>
      <c r="U164" s="8"/>
      <c r="V164" s="13"/>
      <c r="W164" s="19"/>
      <c r="X164" s="8"/>
      <c r="Y164" s="19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</row>
    <row r="165" spans="1:76" s="4" customForma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4"/>
      <c r="L165" s="3"/>
      <c r="M165" s="3"/>
      <c r="N165" s="8"/>
      <c r="O165" s="23"/>
      <c r="P165" s="23"/>
      <c r="Q165" s="8"/>
      <c r="R165" s="8"/>
      <c r="S165" s="8"/>
      <c r="T165" s="13"/>
      <c r="U165" s="8"/>
      <c r="V165" s="13"/>
      <c r="W165" s="19"/>
      <c r="X165" s="8"/>
      <c r="Y165" s="19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</row>
    <row r="166" spans="1:76" s="4" customForma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4"/>
      <c r="L166" s="3"/>
      <c r="M166" s="3"/>
      <c r="N166" s="8"/>
      <c r="O166" s="23"/>
      <c r="P166" s="23"/>
      <c r="Q166" s="8"/>
      <c r="R166" s="8"/>
      <c r="S166" s="8"/>
      <c r="T166" s="13"/>
      <c r="U166" s="8"/>
      <c r="V166" s="13"/>
      <c r="W166" s="19"/>
      <c r="X166" s="8"/>
      <c r="Y166" s="19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</row>
    <row r="167" spans="1:76" s="4" customForma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4"/>
      <c r="L167" s="3"/>
      <c r="M167" s="3"/>
      <c r="N167" s="8"/>
      <c r="O167" s="23"/>
      <c r="P167" s="23"/>
      <c r="Q167" s="8"/>
      <c r="R167" s="8"/>
      <c r="S167" s="8"/>
      <c r="T167" s="13"/>
      <c r="U167" s="8"/>
      <c r="V167" s="13"/>
      <c r="W167" s="19"/>
      <c r="X167" s="8"/>
      <c r="Y167" s="19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</row>
    <row r="168" spans="1:76" s="4" customForma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4"/>
      <c r="L168" s="3"/>
      <c r="M168" s="3"/>
      <c r="N168" s="8"/>
      <c r="O168" s="23"/>
      <c r="P168" s="23"/>
      <c r="Q168" s="8"/>
      <c r="R168" s="8"/>
      <c r="S168" s="8"/>
      <c r="T168" s="13"/>
      <c r="U168" s="8"/>
      <c r="V168" s="13"/>
      <c r="W168" s="19"/>
      <c r="X168" s="8"/>
      <c r="Y168" s="19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</row>
    <row r="169" spans="1:76" s="4" customForma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4"/>
      <c r="L169" s="3"/>
      <c r="M169" s="3"/>
      <c r="N169" s="8"/>
      <c r="O169" s="23"/>
      <c r="P169" s="23"/>
      <c r="Q169" s="8"/>
      <c r="R169" s="8"/>
      <c r="S169" s="8"/>
      <c r="T169" s="13"/>
      <c r="U169" s="8"/>
      <c r="V169" s="13"/>
      <c r="W169" s="19"/>
      <c r="X169" s="8"/>
      <c r="Y169" s="19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</row>
    <row r="170" spans="1:76" s="4" customForma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4"/>
      <c r="L170" s="3"/>
      <c r="M170" s="3"/>
      <c r="N170" s="8"/>
      <c r="O170" s="23"/>
      <c r="P170" s="23"/>
      <c r="Q170" s="8"/>
      <c r="R170" s="8"/>
      <c r="S170" s="8"/>
      <c r="T170" s="13"/>
      <c r="U170" s="8"/>
      <c r="V170" s="13"/>
      <c r="W170" s="19"/>
      <c r="X170" s="8"/>
      <c r="Y170" s="19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</row>
    <row r="171" spans="1:76" s="4" customForma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4"/>
      <c r="L171" s="3"/>
      <c r="M171" s="3"/>
      <c r="N171" s="8"/>
      <c r="O171" s="23"/>
      <c r="P171" s="23"/>
      <c r="Q171" s="8"/>
      <c r="R171" s="8"/>
      <c r="S171" s="8"/>
      <c r="T171" s="13"/>
      <c r="U171" s="8"/>
      <c r="V171" s="13"/>
      <c r="W171" s="19"/>
      <c r="X171" s="8"/>
      <c r="Y171" s="19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</row>
    <row r="172" spans="1:76" s="4" customForma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4"/>
      <c r="L172" s="3"/>
      <c r="M172" s="3"/>
      <c r="N172" s="8"/>
      <c r="O172" s="23"/>
      <c r="P172" s="23"/>
      <c r="Q172" s="8"/>
      <c r="R172" s="8"/>
      <c r="S172" s="8"/>
      <c r="T172" s="13"/>
      <c r="U172" s="8"/>
      <c r="V172" s="13"/>
      <c r="W172" s="19"/>
      <c r="X172" s="8"/>
      <c r="Y172" s="19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</row>
    <row r="173" spans="1:76" s="4" customForma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4"/>
      <c r="L173" s="3"/>
      <c r="M173" s="3"/>
      <c r="N173" s="8"/>
      <c r="O173" s="23"/>
      <c r="P173" s="23"/>
      <c r="Q173" s="8"/>
      <c r="R173" s="8"/>
      <c r="S173" s="8"/>
      <c r="T173" s="13"/>
      <c r="U173" s="8"/>
      <c r="V173" s="13"/>
      <c r="W173" s="19"/>
      <c r="X173" s="8"/>
      <c r="Y173" s="19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</row>
    <row r="174" spans="1:76" s="4" customForma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4"/>
      <c r="L174" s="3"/>
      <c r="M174" s="3"/>
      <c r="N174" s="8"/>
      <c r="O174" s="23"/>
      <c r="P174" s="23"/>
      <c r="Q174" s="8"/>
      <c r="R174" s="8"/>
      <c r="S174" s="8"/>
      <c r="T174" s="13"/>
      <c r="U174" s="8"/>
      <c r="V174" s="13"/>
      <c r="W174" s="19"/>
      <c r="X174" s="8"/>
      <c r="Y174" s="19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</row>
    <row r="175" spans="1:76" s="4" customForma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4"/>
      <c r="L175" s="3"/>
      <c r="M175" s="3"/>
      <c r="N175" s="8"/>
      <c r="O175" s="23"/>
      <c r="P175" s="23"/>
      <c r="Q175" s="8"/>
      <c r="R175" s="8"/>
      <c r="S175" s="8"/>
      <c r="T175" s="13"/>
      <c r="U175" s="8"/>
      <c r="V175" s="13"/>
      <c r="W175" s="19"/>
      <c r="X175" s="8"/>
      <c r="Y175" s="19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</row>
    <row r="176" spans="1:76" s="4" customForma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4"/>
      <c r="L176" s="3"/>
      <c r="M176" s="3"/>
      <c r="N176" s="8"/>
      <c r="O176" s="23"/>
      <c r="P176" s="23"/>
      <c r="Q176" s="8"/>
      <c r="R176" s="8"/>
      <c r="S176" s="8"/>
      <c r="T176" s="13"/>
      <c r="U176" s="8"/>
      <c r="V176" s="13"/>
      <c r="W176" s="19"/>
      <c r="X176" s="8"/>
      <c r="Y176" s="19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</row>
    <row r="177" spans="1:76" s="4" customForma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4"/>
      <c r="L177" s="3"/>
      <c r="M177" s="3"/>
      <c r="N177" s="8"/>
      <c r="O177" s="23"/>
      <c r="P177" s="23"/>
      <c r="Q177" s="8"/>
      <c r="R177" s="8"/>
      <c r="S177" s="8"/>
      <c r="T177" s="13"/>
      <c r="U177" s="8"/>
      <c r="V177" s="13"/>
      <c r="W177" s="19"/>
      <c r="X177" s="8"/>
      <c r="Y177" s="19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</row>
    <row r="178" spans="1:76" s="4" customForma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4"/>
      <c r="L178" s="3"/>
      <c r="M178" s="3"/>
      <c r="N178" s="8"/>
      <c r="O178" s="23"/>
      <c r="P178" s="23"/>
      <c r="Q178" s="8"/>
      <c r="R178" s="8"/>
      <c r="S178" s="8"/>
      <c r="T178" s="13"/>
      <c r="U178" s="8"/>
      <c r="V178" s="13"/>
      <c r="W178" s="19"/>
      <c r="X178" s="8"/>
      <c r="Y178" s="19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</row>
    <row r="179" spans="1:76" s="4" customForma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4"/>
      <c r="L179" s="3"/>
      <c r="M179" s="3"/>
      <c r="N179" s="8"/>
      <c r="O179" s="23"/>
      <c r="P179" s="23"/>
      <c r="Q179" s="8"/>
      <c r="R179" s="8"/>
      <c r="S179" s="8"/>
      <c r="T179" s="13"/>
      <c r="U179" s="8"/>
      <c r="V179" s="13"/>
      <c r="W179" s="19"/>
      <c r="X179" s="8"/>
      <c r="Y179" s="19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</row>
    <row r="180" spans="1:76" s="4" customForma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4"/>
      <c r="L180" s="3"/>
      <c r="M180" s="3"/>
      <c r="N180" s="8"/>
      <c r="O180" s="23"/>
      <c r="P180" s="23"/>
      <c r="Q180" s="8"/>
      <c r="R180" s="8"/>
      <c r="S180" s="8"/>
      <c r="T180" s="13"/>
      <c r="U180" s="8"/>
      <c r="V180" s="13"/>
      <c r="W180" s="19"/>
      <c r="X180" s="8"/>
      <c r="Y180" s="19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</row>
    <row r="181" spans="1:76" s="4" customForma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4"/>
      <c r="L181" s="3"/>
      <c r="M181" s="3"/>
      <c r="N181" s="8"/>
      <c r="O181" s="23"/>
      <c r="P181" s="23"/>
      <c r="Q181" s="8"/>
      <c r="R181" s="8"/>
      <c r="S181" s="8"/>
      <c r="T181" s="13"/>
      <c r="U181" s="8"/>
      <c r="V181" s="13"/>
      <c r="W181" s="19"/>
      <c r="X181" s="8"/>
      <c r="Y181" s="19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</row>
    <row r="182" spans="1:76" s="4" customForma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4"/>
      <c r="L182" s="3"/>
      <c r="M182" s="3"/>
      <c r="N182" s="8"/>
      <c r="O182" s="23"/>
      <c r="P182" s="23"/>
      <c r="Q182" s="8"/>
      <c r="R182" s="8"/>
      <c r="S182" s="8"/>
      <c r="T182" s="13"/>
      <c r="U182" s="8"/>
      <c r="V182" s="13"/>
      <c r="W182" s="19"/>
      <c r="X182" s="8"/>
      <c r="Y182" s="19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</row>
    <row r="183" spans="1:76" s="4" customForma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4"/>
      <c r="L183" s="3"/>
      <c r="M183" s="3"/>
      <c r="N183" s="8"/>
      <c r="O183" s="23"/>
      <c r="P183" s="23"/>
      <c r="Q183" s="8"/>
      <c r="R183" s="8"/>
      <c r="S183" s="8"/>
      <c r="T183" s="13"/>
      <c r="U183" s="8"/>
      <c r="V183" s="13"/>
      <c r="W183" s="19"/>
      <c r="X183" s="8"/>
      <c r="Y183" s="19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</row>
    <row r="184" spans="1:76" s="4" customForma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4"/>
      <c r="L184" s="3"/>
      <c r="M184" s="3"/>
      <c r="N184" s="8"/>
      <c r="O184" s="23"/>
      <c r="P184" s="23"/>
      <c r="Q184" s="8"/>
      <c r="R184" s="8"/>
      <c r="S184" s="8"/>
      <c r="T184" s="13"/>
      <c r="U184" s="8"/>
      <c r="V184" s="13"/>
      <c r="W184" s="19"/>
      <c r="X184" s="8"/>
      <c r="Y184" s="19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</row>
    <row r="185" spans="1:76" s="4" customForma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4"/>
      <c r="L185" s="3"/>
      <c r="M185" s="3"/>
      <c r="N185" s="8"/>
      <c r="O185" s="23"/>
      <c r="P185" s="23"/>
      <c r="Q185" s="8"/>
      <c r="R185" s="8"/>
      <c r="S185" s="8"/>
      <c r="T185" s="13"/>
      <c r="U185" s="8"/>
      <c r="V185" s="13"/>
      <c r="W185" s="19"/>
      <c r="X185" s="8"/>
      <c r="Y185" s="19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</row>
    <row r="186" spans="1:76" s="4" customForma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4"/>
      <c r="L186" s="3"/>
      <c r="M186" s="3"/>
      <c r="N186" s="8"/>
      <c r="O186" s="23"/>
      <c r="P186" s="23"/>
      <c r="Q186" s="8"/>
      <c r="R186" s="8"/>
      <c r="S186" s="8"/>
      <c r="T186" s="13"/>
      <c r="U186" s="8"/>
      <c r="V186" s="13"/>
      <c r="W186" s="19"/>
      <c r="X186" s="8"/>
      <c r="Y186" s="19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</row>
    <row r="187" spans="1:76" s="4" customForma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4"/>
      <c r="L187" s="3"/>
      <c r="M187" s="3"/>
      <c r="N187" s="8"/>
      <c r="O187" s="23"/>
      <c r="P187" s="23"/>
      <c r="Q187" s="8"/>
      <c r="R187" s="8"/>
      <c r="S187" s="8"/>
      <c r="T187" s="13"/>
      <c r="U187" s="8"/>
      <c r="V187" s="13"/>
      <c r="W187" s="19"/>
      <c r="X187" s="8"/>
      <c r="Y187" s="19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</row>
    <row r="188" spans="1:76" s="4" customForma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4"/>
      <c r="L188" s="3"/>
      <c r="M188" s="3"/>
      <c r="N188" s="8"/>
      <c r="O188" s="23"/>
      <c r="P188" s="23"/>
      <c r="Q188" s="8"/>
      <c r="R188" s="8"/>
      <c r="S188" s="8"/>
      <c r="T188" s="13"/>
      <c r="U188" s="8"/>
      <c r="V188" s="13"/>
      <c r="W188" s="19"/>
      <c r="X188" s="8"/>
      <c r="Y188" s="19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27BE-120F-43A3-A9F4-2336FD520A0C}">
  <dimension ref="A1:BX188"/>
  <sheetViews>
    <sheetView topLeftCell="I109" zoomScale="120" zoomScaleNormal="120" workbookViewId="0">
      <selection activeCell="V151" sqref="V151"/>
    </sheetView>
  </sheetViews>
  <sheetFormatPr defaultColWidth="8.90625" defaultRowHeight="14" x14ac:dyDescent="0.3"/>
  <cols>
    <col min="1" max="4" width="22.08984375" style="1" customWidth="1"/>
    <col min="5" max="5" width="18.81640625" style="1" customWidth="1"/>
    <col min="6" max="6" width="17.36328125" style="1" customWidth="1"/>
    <col min="7" max="7" width="16.6328125" style="1" customWidth="1"/>
    <col min="8" max="8" width="20.90625" style="1" customWidth="1"/>
    <col min="9" max="9" width="19.1796875" style="1" customWidth="1"/>
    <col min="10" max="10" width="23.08984375" style="1" customWidth="1"/>
    <col min="11" max="11" width="13.6328125" style="14" customWidth="1"/>
    <col min="12" max="12" width="20.90625" style="3" customWidth="1"/>
    <col min="13" max="13" width="27.36328125" style="3" customWidth="1"/>
    <col min="14" max="14" width="20.6328125" style="8" customWidth="1"/>
    <col min="15" max="15" width="20.6328125" style="23" customWidth="1"/>
    <col min="16" max="16" width="32.90625" style="23" customWidth="1"/>
    <col min="17" max="17" width="23.1796875" style="8" customWidth="1"/>
    <col min="18" max="18" width="30.90625" style="8" customWidth="1"/>
    <col min="19" max="19" width="20.6328125" style="8" customWidth="1"/>
    <col min="20" max="20" width="20.6328125" style="13" customWidth="1"/>
    <col min="21" max="21" width="20.6328125" style="8" customWidth="1"/>
    <col min="22" max="22" width="20.6328125" style="13" customWidth="1"/>
    <col min="23" max="23" width="23.81640625" style="19" customWidth="1"/>
    <col min="24" max="24" width="47.36328125" style="8" customWidth="1"/>
    <col min="25" max="25" width="51.6328125" style="19" customWidth="1"/>
    <col min="26" max="16384" width="8.90625" style="6"/>
  </cols>
  <sheetData>
    <row r="1" spans="1:25" s="24" customFormat="1" ht="53.4" customHeight="1" x14ac:dyDescent="0.35">
      <c r="A1" s="15" t="s">
        <v>7</v>
      </c>
      <c r="B1" s="16" t="s">
        <v>6</v>
      </c>
      <c r="C1" s="15" t="s">
        <v>2</v>
      </c>
      <c r="D1" s="15" t="s">
        <v>1</v>
      </c>
      <c r="E1" s="16" t="s">
        <v>0</v>
      </c>
      <c r="F1" s="15" t="s">
        <v>3</v>
      </c>
      <c r="G1" s="16" t="s">
        <v>10</v>
      </c>
      <c r="H1" s="15" t="s">
        <v>4</v>
      </c>
      <c r="I1" s="16" t="s">
        <v>11</v>
      </c>
      <c r="J1" s="16" t="s">
        <v>8</v>
      </c>
      <c r="K1" s="15" t="s">
        <v>5</v>
      </c>
      <c r="L1" s="16" t="s">
        <v>9</v>
      </c>
      <c r="M1" s="10" t="s">
        <v>19</v>
      </c>
      <c r="N1" s="17" t="s">
        <v>26</v>
      </c>
      <c r="O1" s="22" t="s">
        <v>17</v>
      </c>
      <c r="P1" s="22" t="s">
        <v>29</v>
      </c>
      <c r="Q1" s="18" t="s">
        <v>12</v>
      </c>
      <c r="R1" s="17" t="s">
        <v>15</v>
      </c>
      <c r="S1" s="17" t="s">
        <v>30</v>
      </c>
      <c r="T1" s="12" t="s">
        <v>13</v>
      </c>
      <c r="U1" s="17" t="s">
        <v>14</v>
      </c>
      <c r="V1" s="12" t="s">
        <v>22</v>
      </c>
      <c r="W1" s="12" t="s">
        <v>21</v>
      </c>
      <c r="X1" s="25" t="s">
        <v>23</v>
      </c>
      <c r="Y1" s="25" t="s">
        <v>20</v>
      </c>
    </row>
    <row r="2" spans="1:25" x14ac:dyDescent="0.3">
      <c r="A2" s="1">
        <v>0</v>
      </c>
      <c r="B2" s="1">
        <f>(A2/60)</f>
        <v>0</v>
      </c>
      <c r="C2" s="1">
        <v>20</v>
      </c>
      <c r="D2" s="1">
        <f t="shared" ref="D2:D65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28">
        <v>17.222772277227723</v>
      </c>
      <c r="L2" s="2">
        <f>(K2/1000000)</f>
        <v>1.7222772277227721E-5</v>
      </c>
      <c r="M2" s="3">
        <f>(3.142*3.07*3.07*25.4*25.4)/(4*1000000)</f>
        <v>4.7762865441819992E-3</v>
      </c>
      <c r="N2" s="2">
        <f>(L2*J2)/M2</f>
        <v>7.2567940290731856E-8</v>
      </c>
      <c r="O2" s="21">
        <f>(2.032/1000)</f>
        <v>2.032E-3</v>
      </c>
      <c r="P2" s="21">
        <v>1.45111777225214E-10</v>
      </c>
      <c r="Q2" s="2">
        <v>0.32</v>
      </c>
      <c r="R2" s="2">
        <f>(1+Q2)*100000*1</f>
        <v>132000</v>
      </c>
      <c r="S2" s="2">
        <v>5.3058450282772E-3</v>
      </c>
      <c r="T2" s="11">
        <v>0.11</v>
      </c>
      <c r="U2" s="11">
        <f>(1+T2)*100000</f>
        <v>111000.00000000001</v>
      </c>
      <c r="V2" s="11">
        <f t="shared" ref="V2:V65" si="1">(L2*U2)</f>
        <v>1.9117277227722773</v>
      </c>
      <c r="W2" s="11">
        <f>((N2*O2/P2) + SQRT(V2))^2</f>
        <v>5.754343066141967</v>
      </c>
      <c r="X2" s="27">
        <f>(N2*S2)/(R2-W2)</f>
        <v>2.9170532646145686E-15</v>
      </c>
      <c r="Y2" s="27">
        <f>(X2*6.022E+23)</f>
        <v>1756649475.9508934</v>
      </c>
    </row>
    <row r="3" spans="1:25" x14ac:dyDescent="0.3">
      <c r="A3" s="26">
        <v>3</v>
      </c>
      <c r="B3" s="26">
        <f t="shared" ref="B3:B66" si="2">(A3/60)</f>
        <v>0.05</v>
      </c>
      <c r="C3" s="26">
        <v>20</v>
      </c>
      <c r="D3" s="26">
        <f t="shared" si="0"/>
        <v>29.146000000000001</v>
      </c>
      <c r="E3" s="26">
        <f t="shared" ref="E3:E66" si="3">(D3/(1000000*60))</f>
        <v>4.8576666666666667E-7</v>
      </c>
      <c r="F3" s="26">
        <v>21.1</v>
      </c>
      <c r="G3" s="26">
        <f t="shared" ref="G3:G66" si="4">(273+F3)</f>
        <v>294.10000000000002</v>
      </c>
      <c r="H3" s="26">
        <v>101.3</v>
      </c>
      <c r="I3" s="26">
        <f t="shared" ref="I3:I66" si="5">(H3*1000)</f>
        <v>101300</v>
      </c>
      <c r="J3" s="26">
        <f t="shared" ref="J3:J66" si="6">((I3*E3)/(8.314*G3))</f>
        <v>2.0124824921938581E-5</v>
      </c>
      <c r="K3" s="28">
        <v>17.495049504950494</v>
      </c>
      <c r="L3" s="27">
        <f t="shared" ref="L3:L66" si="7">(K3/1000000)</f>
        <v>1.7495049504950494E-5</v>
      </c>
      <c r="M3" s="29">
        <f t="shared" ref="M3:M66" si="8">(3.142*3.07*3.07*25.4*25.4)/(4*1000000)</f>
        <v>4.7762865441819992E-3</v>
      </c>
      <c r="N3" s="27">
        <f t="shared" ref="N3:N66" si="9">(L3*J3)/M3</f>
        <v>7.3715177058765851E-8</v>
      </c>
      <c r="O3" s="21">
        <f t="shared" ref="O3:O66" si="10">(2.032/1000)</f>
        <v>2.032E-3</v>
      </c>
      <c r="P3" s="21">
        <v>1.45111777225214E-10</v>
      </c>
      <c r="Q3" s="2">
        <v>0.32</v>
      </c>
      <c r="R3" s="27">
        <f t="shared" ref="R3:R66" si="11">(1+Q3)*100000*1</f>
        <v>132000</v>
      </c>
      <c r="S3" s="2">
        <v>5.3058450282772E-3</v>
      </c>
      <c r="T3" s="11">
        <v>0.11</v>
      </c>
      <c r="U3" s="30">
        <f t="shared" ref="U3:U66" si="12">(1+T3)*100000</f>
        <v>111000.00000000001</v>
      </c>
      <c r="V3" s="30">
        <f t="shared" si="1"/>
        <v>1.941950495049505</v>
      </c>
      <c r="W3" s="11">
        <f t="shared" ref="W3:W66" si="13">((N3*O3/P3) + SQRT(V3))^2</f>
        <v>5.8843715091238735</v>
      </c>
      <c r="X3" s="27">
        <f t="shared" ref="X3:X66" si="14">(N3*S3)/(R3-W3)</f>
        <v>2.9631722887304451E-15</v>
      </c>
      <c r="Y3" s="27">
        <f t="shared" ref="Y3:Y66" si="15">(X3*6.022E+23)</f>
        <v>1784422352.2734742</v>
      </c>
    </row>
    <row r="4" spans="1:25" x14ac:dyDescent="0.3">
      <c r="A4" s="26">
        <v>6</v>
      </c>
      <c r="B4" s="26">
        <f t="shared" si="2"/>
        <v>0.1</v>
      </c>
      <c r="C4" s="26">
        <v>20</v>
      </c>
      <c r="D4" s="26">
        <f t="shared" si="0"/>
        <v>29.146000000000001</v>
      </c>
      <c r="E4" s="26">
        <f t="shared" si="3"/>
        <v>4.8576666666666667E-7</v>
      </c>
      <c r="F4" s="26">
        <v>21.1</v>
      </c>
      <c r="G4" s="26">
        <f t="shared" si="4"/>
        <v>294.10000000000002</v>
      </c>
      <c r="H4" s="26">
        <v>101.3</v>
      </c>
      <c r="I4" s="26">
        <f t="shared" si="5"/>
        <v>101300</v>
      </c>
      <c r="J4" s="26">
        <f t="shared" si="6"/>
        <v>2.0124824921938581E-5</v>
      </c>
      <c r="K4" s="28">
        <v>13.683168316831683</v>
      </c>
      <c r="L4" s="27">
        <f t="shared" si="7"/>
        <v>1.3683168316831683E-5</v>
      </c>
      <c r="M4" s="29">
        <f t="shared" si="8"/>
        <v>4.7762865441819992E-3</v>
      </c>
      <c r="N4" s="27">
        <f t="shared" si="9"/>
        <v>5.7653862306289996E-8</v>
      </c>
      <c r="O4" s="21">
        <f t="shared" si="10"/>
        <v>2.032E-3</v>
      </c>
      <c r="P4" s="21">
        <v>1.45111777225214E-10</v>
      </c>
      <c r="Q4" s="2">
        <v>0.32</v>
      </c>
      <c r="R4" s="27">
        <f t="shared" si="11"/>
        <v>132000</v>
      </c>
      <c r="S4" s="2">
        <v>5.3058450282772E-3</v>
      </c>
      <c r="T4" s="11">
        <v>0.11</v>
      </c>
      <c r="U4" s="30">
        <f t="shared" si="12"/>
        <v>111000.00000000001</v>
      </c>
      <c r="V4" s="30">
        <f t="shared" si="1"/>
        <v>1.5188316831683171</v>
      </c>
      <c r="W4" s="11">
        <f t="shared" si="13"/>
        <v>4.1605223065020498</v>
      </c>
      <c r="X4" s="27">
        <f t="shared" si="14"/>
        <v>2.317515914814139E-15</v>
      </c>
      <c r="Y4" s="27">
        <f t="shared" si="15"/>
        <v>1395608083.9010746</v>
      </c>
    </row>
    <row r="5" spans="1:25" x14ac:dyDescent="0.3">
      <c r="A5" s="26">
        <v>9</v>
      </c>
      <c r="B5" s="26">
        <f t="shared" si="2"/>
        <v>0.15</v>
      </c>
      <c r="C5" s="26">
        <v>20</v>
      </c>
      <c r="D5" s="26">
        <f t="shared" si="0"/>
        <v>29.146000000000001</v>
      </c>
      <c r="E5" s="26">
        <f t="shared" si="3"/>
        <v>4.8576666666666667E-7</v>
      </c>
      <c r="F5" s="26">
        <v>21.1</v>
      </c>
      <c r="G5" s="26">
        <f t="shared" si="4"/>
        <v>294.10000000000002</v>
      </c>
      <c r="H5" s="26">
        <v>101.3</v>
      </c>
      <c r="I5" s="26">
        <f t="shared" si="5"/>
        <v>101300</v>
      </c>
      <c r="J5" s="26">
        <f t="shared" si="6"/>
        <v>2.0124824921938581E-5</v>
      </c>
      <c r="K5" s="28">
        <v>12.965346534653467</v>
      </c>
      <c r="L5" s="27">
        <f t="shared" si="7"/>
        <v>1.2965346534653466E-5</v>
      </c>
      <c r="M5" s="29">
        <f t="shared" si="8"/>
        <v>4.7762865441819992E-3</v>
      </c>
      <c r="N5" s="27">
        <f t="shared" si="9"/>
        <v>5.4629329008745841E-8</v>
      </c>
      <c r="O5" s="21">
        <f t="shared" si="10"/>
        <v>2.032E-3</v>
      </c>
      <c r="P5" s="21">
        <v>1.45111777225214E-10</v>
      </c>
      <c r="Q5" s="2">
        <v>0.32</v>
      </c>
      <c r="R5" s="27">
        <f t="shared" si="11"/>
        <v>132000</v>
      </c>
      <c r="S5" s="2">
        <v>5.3058450282772E-3</v>
      </c>
      <c r="T5" s="11">
        <v>0.11</v>
      </c>
      <c r="U5" s="30">
        <f t="shared" si="12"/>
        <v>111000.00000000001</v>
      </c>
      <c r="V5" s="30">
        <f t="shared" si="1"/>
        <v>1.439153465346535</v>
      </c>
      <c r="W5" s="11">
        <f t="shared" si="13"/>
        <v>3.8597381804365511</v>
      </c>
      <c r="X5" s="27">
        <f t="shared" si="14"/>
        <v>2.1959335564224471E-15</v>
      </c>
      <c r="Y5" s="27">
        <f t="shared" si="15"/>
        <v>1322391187.6775978</v>
      </c>
    </row>
    <row r="6" spans="1:25" x14ac:dyDescent="0.3">
      <c r="A6" s="26">
        <v>12</v>
      </c>
      <c r="B6" s="26">
        <f t="shared" si="2"/>
        <v>0.2</v>
      </c>
      <c r="C6" s="26">
        <v>20</v>
      </c>
      <c r="D6" s="26">
        <f t="shared" si="0"/>
        <v>29.146000000000001</v>
      </c>
      <c r="E6" s="26">
        <f t="shared" si="3"/>
        <v>4.8576666666666667E-7</v>
      </c>
      <c r="F6" s="26">
        <v>21.1</v>
      </c>
      <c r="G6" s="26">
        <f t="shared" si="4"/>
        <v>294.10000000000002</v>
      </c>
      <c r="H6" s="26">
        <v>101.3</v>
      </c>
      <c r="I6" s="26">
        <f t="shared" si="5"/>
        <v>101300</v>
      </c>
      <c r="J6" s="26">
        <f t="shared" si="6"/>
        <v>2.0124824921938581E-5</v>
      </c>
      <c r="K6" s="28">
        <v>14.698019801980198</v>
      </c>
      <c r="L6" s="27">
        <f t="shared" si="7"/>
        <v>1.4698019801980197E-5</v>
      </c>
      <c r="M6" s="29">
        <f t="shared" si="8"/>
        <v>4.7762865441819992E-3</v>
      </c>
      <c r="N6" s="27">
        <f t="shared" si="9"/>
        <v>6.1929926623507579E-8</v>
      </c>
      <c r="O6" s="21">
        <f t="shared" si="10"/>
        <v>2.032E-3</v>
      </c>
      <c r="P6" s="21">
        <v>1.45111777225214E-10</v>
      </c>
      <c r="Q6" s="2">
        <v>0.32</v>
      </c>
      <c r="R6" s="27">
        <f t="shared" si="11"/>
        <v>132000</v>
      </c>
      <c r="S6" s="2">
        <v>5.3058450282772E-3</v>
      </c>
      <c r="T6" s="11">
        <v>0.11</v>
      </c>
      <c r="U6" s="30">
        <f t="shared" si="12"/>
        <v>111000.00000000001</v>
      </c>
      <c r="V6" s="30">
        <f t="shared" si="1"/>
        <v>1.6314801980198022</v>
      </c>
      <c r="W6" s="11">
        <f t="shared" si="13"/>
        <v>4.5988749416727979</v>
      </c>
      <c r="X6" s="27">
        <f t="shared" si="14"/>
        <v>2.4894094072685767E-15</v>
      </c>
      <c r="Y6" s="27">
        <f t="shared" si="15"/>
        <v>1499122345.057137</v>
      </c>
    </row>
    <row r="7" spans="1:25" x14ac:dyDescent="0.3">
      <c r="A7" s="26">
        <v>15</v>
      </c>
      <c r="B7" s="26">
        <f t="shared" si="2"/>
        <v>0.25</v>
      </c>
      <c r="C7" s="26">
        <v>20</v>
      </c>
      <c r="D7" s="26">
        <f t="shared" si="0"/>
        <v>29.146000000000001</v>
      </c>
      <c r="E7" s="26">
        <f t="shared" si="3"/>
        <v>4.8576666666666667E-7</v>
      </c>
      <c r="F7" s="26">
        <v>21.1</v>
      </c>
      <c r="G7" s="26">
        <f t="shared" si="4"/>
        <v>294.10000000000002</v>
      </c>
      <c r="H7" s="26">
        <v>101.3</v>
      </c>
      <c r="I7" s="26">
        <f t="shared" si="5"/>
        <v>101300</v>
      </c>
      <c r="J7" s="26">
        <f t="shared" si="6"/>
        <v>2.0124824921938581E-5</v>
      </c>
      <c r="K7" s="28">
        <v>15.440594059405942</v>
      </c>
      <c r="L7" s="27">
        <f t="shared" si="7"/>
        <v>1.5440594059405944E-5</v>
      </c>
      <c r="M7" s="29">
        <f t="shared" si="8"/>
        <v>4.7762865441819992E-3</v>
      </c>
      <c r="N7" s="27">
        <f t="shared" si="9"/>
        <v>6.5058754172691219E-8</v>
      </c>
      <c r="O7" s="21">
        <f t="shared" si="10"/>
        <v>2.032E-3</v>
      </c>
      <c r="P7" s="21">
        <v>1.45111777225214E-10</v>
      </c>
      <c r="Q7" s="2">
        <v>0.32</v>
      </c>
      <c r="R7" s="27">
        <f t="shared" si="11"/>
        <v>132000</v>
      </c>
      <c r="S7" s="2">
        <v>5.3058450282772E-3</v>
      </c>
      <c r="T7" s="11">
        <v>0.11</v>
      </c>
      <c r="U7" s="30">
        <f t="shared" si="12"/>
        <v>111000.00000000001</v>
      </c>
      <c r="V7" s="30">
        <f t="shared" si="1"/>
        <v>1.71390594059406</v>
      </c>
      <c r="W7" s="11">
        <f t="shared" si="13"/>
        <v>4.9291989772179239</v>
      </c>
      <c r="X7" s="27">
        <f t="shared" si="14"/>
        <v>2.6151860465565769E-15</v>
      </c>
      <c r="Y7" s="27">
        <f t="shared" si="15"/>
        <v>1574865037.2363708</v>
      </c>
    </row>
    <row r="8" spans="1:25" x14ac:dyDescent="0.3">
      <c r="A8" s="26">
        <v>18</v>
      </c>
      <c r="B8" s="26">
        <f t="shared" si="2"/>
        <v>0.3</v>
      </c>
      <c r="C8" s="26">
        <v>20</v>
      </c>
      <c r="D8" s="26">
        <f t="shared" si="0"/>
        <v>29.146000000000001</v>
      </c>
      <c r="E8" s="26">
        <f t="shared" si="3"/>
        <v>4.8576666666666667E-7</v>
      </c>
      <c r="F8" s="26">
        <v>21.1</v>
      </c>
      <c r="G8" s="26">
        <f t="shared" si="4"/>
        <v>294.10000000000002</v>
      </c>
      <c r="H8" s="26">
        <v>101.3</v>
      </c>
      <c r="I8" s="26">
        <f t="shared" si="5"/>
        <v>101300</v>
      </c>
      <c r="J8" s="26">
        <f t="shared" si="6"/>
        <v>2.0124824921938581E-5</v>
      </c>
      <c r="K8" s="28">
        <v>9.3514851485148505</v>
      </c>
      <c r="L8" s="27">
        <f t="shared" si="7"/>
        <v>9.3514851485148513E-6</v>
      </c>
      <c r="M8" s="29">
        <f t="shared" si="8"/>
        <v>4.7762865441819992E-3</v>
      </c>
      <c r="N8" s="27">
        <f t="shared" si="9"/>
        <v>3.9402368269385597E-8</v>
      </c>
      <c r="O8" s="21">
        <f t="shared" si="10"/>
        <v>2.032E-3</v>
      </c>
      <c r="P8" s="21">
        <v>1.45111777225214E-10</v>
      </c>
      <c r="Q8" s="2">
        <v>0.32</v>
      </c>
      <c r="R8" s="27">
        <f t="shared" si="11"/>
        <v>132000</v>
      </c>
      <c r="S8" s="2">
        <v>5.3058450282772E-3</v>
      </c>
      <c r="T8" s="11">
        <v>0.11</v>
      </c>
      <c r="U8" s="30">
        <f t="shared" si="12"/>
        <v>111000.00000000001</v>
      </c>
      <c r="V8" s="30">
        <f t="shared" si="1"/>
        <v>1.0380148514851486</v>
      </c>
      <c r="W8" s="11">
        <f t="shared" si="13"/>
        <v>2.4667260683894261</v>
      </c>
      <c r="X8" s="27">
        <f t="shared" si="14"/>
        <v>1.5838391415285258E-15</v>
      </c>
      <c r="Y8" s="27">
        <f t="shared" si="15"/>
        <v>953787931.02847826</v>
      </c>
    </row>
    <row r="9" spans="1:25" x14ac:dyDescent="0.3">
      <c r="A9" s="26">
        <v>21</v>
      </c>
      <c r="B9" s="26">
        <f t="shared" si="2"/>
        <v>0.35</v>
      </c>
      <c r="C9" s="26">
        <v>20</v>
      </c>
      <c r="D9" s="26">
        <f t="shared" si="0"/>
        <v>29.146000000000001</v>
      </c>
      <c r="E9" s="26">
        <f t="shared" si="3"/>
        <v>4.8576666666666667E-7</v>
      </c>
      <c r="F9" s="26">
        <v>21.1</v>
      </c>
      <c r="G9" s="26">
        <f t="shared" si="4"/>
        <v>294.10000000000002</v>
      </c>
      <c r="H9" s="26">
        <v>101.3</v>
      </c>
      <c r="I9" s="26">
        <f t="shared" si="5"/>
        <v>101300</v>
      </c>
      <c r="J9" s="26">
        <f t="shared" si="6"/>
        <v>2.0124824921938581E-5</v>
      </c>
      <c r="K9" s="28">
        <v>20.06930693069307</v>
      </c>
      <c r="L9" s="27">
        <f t="shared" si="7"/>
        <v>2.0069306930693071E-5</v>
      </c>
      <c r="M9" s="29">
        <f t="shared" si="8"/>
        <v>4.7762865441819992E-3</v>
      </c>
      <c r="N9" s="27">
        <f t="shared" si="9"/>
        <v>8.4561779229269047E-8</v>
      </c>
      <c r="O9" s="21">
        <f t="shared" si="10"/>
        <v>2.032E-3</v>
      </c>
      <c r="P9" s="21">
        <v>1.45111777225214E-10</v>
      </c>
      <c r="Q9" s="2">
        <v>0.32</v>
      </c>
      <c r="R9" s="27">
        <f t="shared" si="11"/>
        <v>132000</v>
      </c>
      <c r="S9" s="2">
        <v>5.3058450282772E-3</v>
      </c>
      <c r="T9" s="11">
        <v>0.11</v>
      </c>
      <c r="U9" s="30">
        <f t="shared" si="12"/>
        <v>111000.00000000001</v>
      </c>
      <c r="V9" s="30">
        <f t="shared" si="1"/>
        <v>2.2276930693069312</v>
      </c>
      <c r="W9" s="11">
        <f t="shared" si="13"/>
        <v>7.1645317925822747</v>
      </c>
      <c r="X9" s="27">
        <f t="shared" si="14"/>
        <v>3.3992124975143902E-15</v>
      </c>
      <c r="Y9" s="27">
        <f t="shared" si="15"/>
        <v>2047005766.003166</v>
      </c>
    </row>
    <row r="10" spans="1:25" x14ac:dyDescent="0.3">
      <c r="A10" s="26">
        <v>24</v>
      </c>
      <c r="B10" s="26">
        <f t="shared" si="2"/>
        <v>0.4</v>
      </c>
      <c r="C10" s="26">
        <v>20</v>
      </c>
      <c r="D10" s="26">
        <f t="shared" si="0"/>
        <v>29.146000000000001</v>
      </c>
      <c r="E10" s="26">
        <f t="shared" si="3"/>
        <v>4.8576666666666667E-7</v>
      </c>
      <c r="F10" s="26">
        <v>21.1</v>
      </c>
      <c r="G10" s="26">
        <f t="shared" si="4"/>
        <v>294.10000000000002</v>
      </c>
      <c r="H10" s="26">
        <v>101.3</v>
      </c>
      <c r="I10" s="26">
        <f t="shared" si="5"/>
        <v>101300</v>
      </c>
      <c r="J10" s="26">
        <f t="shared" si="6"/>
        <v>2.0124824921938581E-5</v>
      </c>
      <c r="K10" s="28">
        <v>25.762376237623762</v>
      </c>
      <c r="L10" s="27">
        <f t="shared" si="7"/>
        <v>2.5762376237623764E-5</v>
      </c>
      <c r="M10" s="29">
        <f t="shared" si="8"/>
        <v>4.7762865441819992E-3</v>
      </c>
      <c r="N10" s="27">
        <f t="shared" si="9"/>
        <v>1.085494571063434E-7</v>
      </c>
      <c r="O10" s="21">
        <f t="shared" si="10"/>
        <v>2.032E-3</v>
      </c>
      <c r="P10" s="21">
        <v>1.45111777225214E-10</v>
      </c>
      <c r="Q10" s="2">
        <v>0.32</v>
      </c>
      <c r="R10" s="27">
        <f t="shared" si="11"/>
        <v>132000</v>
      </c>
      <c r="S10" s="2">
        <v>5.3058450282772E-3</v>
      </c>
      <c r="T10" s="11">
        <v>0.11</v>
      </c>
      <c r="U10" s="30">
        <f t="shared" si="12"/>
        <v>111000.00000000001</v>
      </c>
      <c r="V10" s="30">
        <f t="shared" si="1"/>
        <v>2.8596237623762382</v>
      </c>
      <c r="W10" s="11">
        <f t="shared" si="13"/>
        <v>10.310906951719751</v>
      </c>
      <c r="X10" s="27">
        <f t="shared" si="14"/>
        <v>4.3635726492533695E-15</v>
      </c>
      <c r="Y10" s="27">
        <f t="shared" si="15"/>
        <v>2627743449.3803792</v>
      </c>
    </row>
    <row r="11" spans="1:25" x14ac:dyDescent="0.3">
      <c r="A11" s="26">
        <v>27</v>
      </c>
      <c r="B11" s="26">
        <f t="shared" si="2"/>
        <v>0.45</v>
      </c>
      <c r="C11" s="26">
        <v>20</v>
      </c>
      <c r="D11" s="26">
        <f t="shared" si="0"/>
        <v>29.146000000000001</v>
      </c>
      <c r="E11" s="26">
        <f t="shared" si="3"/>
        <v>4.8576666666666667E-7</v>
      </c>
      <c r="F11" s="26">
        <v>21.1</v>
      </c>
      <c r="G11" s="26">
        <f t="shared" si="4"/>
        <v>294.10000000000002</v>
      </c>
      <c r="H11" s="26">
        <v>101.3</v>
      </c>
      <c r="I11" s="26">
        <f t="shared" si="5"/>
        <v>101300</v>
      </c>
      <c r="J11" s="26">
        <f t="shared" si="6"/>
        <v>2.0124824921938581E-5</v>
      </c>
      <c r="K11" s="28">
        <v>35.143564356435647</v>
      </c>
      <c r="L11" s="27">
        <f t="shared" si="7"/>
        <v>3.5143564356435647E-5</v>
      </c>
      <c r="M11" s="29">
        <f t="shared" si="8"/>
        <v>4.7762865441819992E-3</v>
      </c>
      <c r="N11" s="27">
        <f t="shared" si="9"/>
        <v>1.4807697847769634E-7</v>
      </c>
      <c r="O11" s="21">
        <f t="shared" si="10"/>
        <v>2.032E-3</v>
      </c>
      <c r="P11" s="21">
        <v>1.45111777225214E-10</v>
      </c>
      <c r="Q11" s="2">
        <v>0.32</v>
      </c>
      <c r="R11" s="27">
        <f t="shared" si="11"/>
        <v>132000</v>
      </c>
      <c r="S11" s="2">
        <v>5.3058450282772E-3</v>
      </c>
      <c r="T11" s="11">
        <v>0.11</v>
      </c>
      <c r="U11" s="30">
        <f t="shared" si="12"/>
        <v>111000.00000000001</v>
      </c>
      <c r="V11" s="30">
        <f t="shared" si="1"/>
        <v>3.9009356435643574</v>
      </c>
      <c r="W11" s="11">
        <f t="shared" si="13"/>
        <v>16.391164802842003</v>
      </c>
      <c r="X11" s="27">
        <f t="shared" si="14"/>
        <v>5.9528111633864714E-15</v>
      </c>
      <c r="Y11" s="27">
        <f t="shared" si="15"/>
        <v>3584782882.5913334</v>
      </c>
    </row>
    <row r="12" spans="1:25" x14ac:dyDescent="0.3">
      <c r="A12" s="26">
        <v>30</v>
      </c>
      <c r="B12" s="26">
        <f t="shared" si="2"/>
        <v>0.5</v>
      </c>
      <c r="C12" s="26">
        <v>20</v>
      </c>
      <c r="D12" s="26">
        <f t="shared" si="0"/>
        <v>29.146000000000001</v>
      </c>
      <c r="E12" s="26">
        <f t="shared" si="3"/>
        <v>4.8576666666666667E-7</v>
      </c>
      <c r="F12" s="26">
        <v>21.1</v>
      </c>
      <c r="G12" s="26">
        <f t="shared" si="4"/>
        <v>294.10000000000002</v>
      </c>
      <c r="H12" s="26">
        <v>101.3</v>
      </c>
      <c r="I12" s="26">
        <f t="shared" si="5"/>
        <v>101300</v>
      </c>
      <c r="J12" s="26">
        <f t="shared" si="6"/>
        <v>2.0124824921938581E-5</v>
      </c>
      <c r="K12" s="28">
        <v>49.004950495049506</v>
      </c>
      <c r="L12" s="27">
        <f t="shared" si="7"/>
        <v>4.900495049504951E-5</v>
      </c>
      <c r="M12" s="29">
        <f t="shared" si="8"/>
        <v>4.7762865441819992E-3</v>
      </c>
      <c r="N12" s="27">
        <f t="shared" si="9"/>
        <v>2.0648175939579039E-7</v>
      </c>
      <c r="O12" s="21">
        <f t="shared" si="10"/>
        <v>2.032E-3</v>
      </c>
      <c r="P12" s="21">
        <v>1.45111777225214E-10</v>
      </c>
      <c r="Q12" s="2">
        <v>0.32</v>
      </c>
      <c r="R12" s="27">
        <f t="shared" si="11"/>
        <v>132000</v>
      </c>
      <c r="S12" s="2">
        <v>5.3058450282772E-3</v>
      </c>
      <c r="T12" s="11">
        <v>0.11</v>
      </c>
      <c r="U12" s="30">
        <f t="shared" si="12"/>
        <v>111000.00000000001</v>
      </c>
      <c r="V12" s="30">
        <f t="shared" si="1"/>
        <v>5.4395495049504961</v>
      </c>
      <c r="W12" s="11">
        <f t="shared" si="13"/>
        <v>27.286497912215896</v>
      </c>
      <c r="X12" s="27">
        <f t="shared" si="14"/>
        <v>8.30141464434428E-15</v>
      </c>
      <c r="Y12" s="27">
        <f t="shared" si="15"/>
        <v>4999111898.8241253</v>
      </c>
    </row>
    <row r="13" spans="1:25" x14ac:dyDescent="0.3">
      <c r="A13" s="26">
        <v>33</v>
      </c>
      <c r="B13" s="26">
        <f t="shared" si="2"/>
        <v>0.55000000000000004</v>
      </c>
      <c r="C13" s="26">
        <v>20</v>
      </c>
      <c r="D13" s="26">
        <f t="shared" si="0"/>
        <v>29.146000000000001</v>
      </c>
      <c r="E13" s="26">
        <f t="shared" si="3"/>
        <v>4.8576666666666667E-7</v>
      </c>
      <c r="F13" s="26">
        <v>21.1</v>
      </c>
      <c r="G13" s="26">
        <f t="shared" si="4"/>
        <v>294.10000000000002</v>
      </c>
      <c r="H13" s="26">
        <v>101.3</v>
      </c>
      <c r="I13" s="26">
        <f t="shared" si="5"/>
        <v>101300</v>
      </c>
      <c r="J13" s="26">
        <f t="shared" si="6"/>
        <v>2.0124824921938581E-5</v>
      </c>
      <c r="K13" s="28">
        <v>70.094059405940598</v>
      </c>
      <c r="L13" s="27">
        <f t="shared" si="7"/>
        <v>7.0094059405940599E-5</v>
      </c>
      <c r="M13" s="29">
        <f t="shared" si="8"/>
        <v>4.7762865441819992E-3</v>
      </c>
      <c r="N13" s="27">
        <f t="shared" si="9"/>
        <v>2.9534046179260491E-7</v>
      </c>
      <c r="O13" s="21">
        <f t="shared" si="10"/>
        <v>2.032E-3</v>
      </c>
      <c r="P13" s="21">
        <v>1.45111777225214E-10</v>
      </c>
      <c r="Q13" s="2">
        <v>0.32</v>
      </c>
      <c r="R13" s="27">
        <f t="shared" si="11"/>
        <v>132000</v>
      </c>
      <c r="S13" s="2">
        <v>5.3058450282772E-3</v>
      </c>
      <c r="T13" s="11">
        <v>0.11</v>
      </c>
      <c r="U13" s="30">
        <f t="shared" si="12"/>
        <v>111000.00000000001</v>
      </c>
      <c r="V13" s="30">
        <f t="shared" si="1"/>
        <v>7.7804405940594075</v>
      </c>
      <c r="W13" s="11">
        <f t="shared" si="13"/>
        <v>47.955571833584891</v>
      </c>
      <c r="X13" s="27">
        <f t="shared" si="14"/>
        <v>1.187575931576008E-14</v>
      </c>
      <c r="Y13" s="27">
        <f t="shared" si="15"/>
        <v>7151582259.9507208</v>
      </c>
    </row>
    <row r="14" spans="1:25" x14ac:dyDescent="0.3">
      <c r="A14" s="26">
        <v>36</v>
      </c>
      <c r="B14" s="26">
        <f t="shared" si="2"/>
        <v>0.6</v>
      </c>
      <c r="C14" s="26">
        <v>20</v>
      </c>
      <c r="D14" s="26">
        <f t="shared" si="0"/>
        <v>29.146000000000001</v>
      </c>
      <c r="E14" s="26">
        <f t="shared" si="3"/>
        <v>4.8576666666666667E-7</v>
      </c>
      <c r="F14" s="26">
        <v>21.1</v>
      </c>
      <c r="G14" s="26">
        <f t="shared" si="4"/>
        <v>294.10000000000002</v>
      </c>
      <c r="H14" s="26">
        <v>101.3</v>
      </c>
      <c r="I14" s="26">
        <f t="shared" si="5"/>
        <v>101300</v>
      </c>
      <c r="J14" s="26">
        <f t="shared" si="6"/>
        <v>2.0124824921938581E-5</v>
      </c>
      <c r="K14" s="28">
        <v>95.242574257425744</v>
      </c>
      <c r="L14" s="27">
        <f t="shared" si="7"/>
        <v>9.5242574257425744E-5</v>
      </c>
      <c r="M14" s="29">
        <f t="shared" si="8"/>
        <v>4.7762865441819992E-3</v>
      </c>
      <c r="N14" s="27">
        <f t="shared" si="9"/>
        <v>4.0130342145828982E-7</v>
      </c>
      <c r="O14" s="21">
        <f t="shared" si="10"/>
        <v>2.032E-3</v>
      </c>
      <c r="P14" s="21">
        <v>1.45111777225214E-10</v>
      </c>
      <c r="Q14" s="2">
        <v>0.32</v>
      </c>
      <c r="R14" s="27">
        <f t="shared" si="11"/>
        <v>132000</v>
      </c>
      <c r="S14" s="2">
        <v>5.3058450282772E-3</v>
      </c>
      <c r="T14" s="11">
        <v>0.11</v>
      </c>
      <c r="U14" s="30">
        <f t="shared" si="12"/>
        <v>111000.00000000001</v>
      </c>
      <c r="V14" s="30">
        <f t="shared" si="1"/>
        <v>10.571925742574258</v>
      </c>
      <c r="W14" s="11">
        <f t="shared" si="13"/>
        <v>78.692884602734082</v>
      </c>
      <c r="X14" s="27">
        <f t="shared" si="14"/>
        <v>1.6140332521967408E-14</v>
      </c>
      <c r="Y14" s="27">
        <f t="shared" si="15"/>
        <v>9719708244.7287731</v>
      </c>
    </row>
    <row r="15" spans="1:25" x14ac:dyDescent="0.3">
      <c r="A15" s="26">
        <v>39</v>
      </c>
      <c r="B15" s="26">
        <f t="shared" si="2"/>
        <v>0.65</v>
      </c>
      <c r="C15" s="26">
        <v>20</v>
      </c>
      <c r="D15" s="26">
        <f t="shared" si="0"/>
        <v>29.146000000000001</v>
      </c>
      <c r="E15" s="26">
        <f t="shared" si="3"/>
        <v>4.8576666666666667E-7</v>
      </c>
      <c r="F15" s="26">
        <v>21.1</v>
      </c>
      <c r="G15" s="26">
        <f t="shared" si="4"/>
        <v>294.10000000000002</v>
      </c>
      <c r="H15" s="26">
        <v>101.3</v>
      </c>
      <c r="I15" s="26">
        <f t="shared" si="5"/>
        <v>101300</v>
      </c>
      <c r="J15" s="26">
        <f t="shared" si="6"/>
        <v>2.0124824921938581E-5</v>
      </c>
      <c r="K15" s="28">
        <v>118.90594059405943</v>
      </c>
      <c r="L15" s="27">
        <f t="shared" si="7"/>
        <v>1.1890594059405943E-4</v>
      </c>
      <c r="M15" s="29">
        <f t="shared" si="8"/>
        <v>4.7762865441819992E-3</v>
      </c>
      <c r="N15" s="27">
        <f t="shared" si="9"/>
        <v>5.0100872602560765E-7</v>
      </c>
      <c r="O15" s="21">
        <f t="shared" si="10"/>
        <v>2.032E-3</v>
      </c>
      <c r="P15" s="21">
        <v>1.45111777225214E-10</v>
      </c>
      <c r="Q15" s="2">
        <v>0.32</v>
      </c>
      <c r="R15" s="27">
        <f t="shared" si="11"/>
        <v>132000</v>
      </c>
      <c r="S15" s="2">
        <v>5.3058450282772E-3</v>
      </c>
      <c r="T15" s="11">
        <v>0.11</v>
      </c>
      <c r="U15" s="30">
        <f t="shared" si="12"/>
        <v>111000.00000000001</v>
      </c>
      <c r="V15" s="30">
        <f t="shared" si="1"/>
        <v>13.198559405940598</v>
      </c>
      <c r="W15" s="11">
        <f t="shared" si="13"/>
        <v>113.39282267879904</v>
      </c>
      <c r="X15" s="27">
        <f t="shared" si="14"/>
        <v>2.0155758912900239E-14</v>
      </c>
      <c r="Y15" s="27">
        <f t="shared" si="15"/>
        <v>12137798017.348524</v>
      </c>
    </row>
    <row r="16" spans="1:25" x14ac:dyDescent="0.3">
      <c r="A16" s="26">
        <v>42</v>
      </c>
      <c r="B16" s="26">
        <f t="shared" si="2"/>
        <v>0.7</v>
      </c>
      <c r="C16" s="26">
        <v>20</v>
      </c>
      <c r="D16" s="26">
        <f t="shared" si="0"/>
        <v>29.146000000000001</v>
      </c>
      <c r="E16" s="26">
        <f t="shared" si="3"/>
        <v>4.8576666666666667E-7</v>
      </c>
      <c r="F16" s="26">
        <v>21.1</v>
      </c>
      <c r="G16" s="26">
        <f t="shared" si="4"/>
        <v>294.10000000000002</v>
      </c>
      <c r="H16" s="26">
        <v>101.3</v>
      </c>
      <c r="I16" s="26">
        <f t="shared" si="5"/>
        <v>101300</v>
      </c>
      <c r="J16" s="26">
        <f t="shared" si="6"/>
        <v>2.0124824921938581E-5</v>
      </c>
      <c r="K16" s="28">
        <v>156.38118811881188</v>
      </c>
      <c r="L16" s="27">
        <f t="shared" si="7"/>
        <v>1.5638118811881188E-4</v>
      </c>
      <c r="M16" s="29">
        <f t="shared" si="8"/>
        <v>4.7762865441819992E-3</v>
      </c>
      <c r="N16" s="27">
        <f t="shared" si="9"/>
        <v>6.5891022300774038E-7</v>
      </c>
      <c r="O16" s="21">
        <f t="shared" si="10"/>
        <v>2.032E-3</v>
      </c>
      <c r="P16" s="21">
        <v>1.45111777225214E-10</v>
      </c>
      <c r="Q16" s="2">
        <v>0.32</v>
      </c>
      <c r="R16" s="27">
        <f t="shared" si="11"/>
        <v>132000</v>
      </c>
      <c r="S16" s="2">
        <v>5.3058450282772E-3</v>
      </c>
      <c r="T16" s="11">
        <v>0.11</v>
      </c>
      <c r="U16" s="30">
        <f t="shared" si="12"/>
        <v>111000.00000000001</v>
      </c>
      <c r="V16" s="30">
        <f t="shared" si="1"/>
        <v>17.358311881188122</v>
      </c>
      <c r="W16" s="11">
        <f t="shared" si="13"/>
        <v>179.3737779983812</v>
      </c>
      <c r="X16" s="27">
        <f t="shared" si="14"/>
        <v>2.6521460495407093E-14</v>
      </c>
      <c r="Y16" s="27">
        <f t="shared" si="15"/>
        <v>15971223510.334152</v>
      </c>
    </row>
    <row r="17" spans="1:76" s="4" customFormat="1" x14ac:dyDescent="0.3">
      <c r="A17" s="26">
        <v>45</v>
      </c>
      <c r="B17" s="26">
        <f t="shared" si="2"/>
        <v>0.75</v>
      </c>
      <c r="C17" s="26">
        <v>20</v>
      </c>
      <c r="D17" s="26">
        <f t="shared" si="0"/>
        <v>29.146000000000001</v>
      </c>
      <c r="E17" s="26">
        <f t="shared" si="3"/>
        <v>4.8576666666666667E-7</v>
      </c>
      <c r="F17" s="26">
        <v>21.1</v>
      </c>
      <c r="G17" s="26">
        <f t="shared" si="4"/>
        <v>294.10000000000002</v>
      </c>
      <c r="H17" s="26">
        <v>101.3</v>
      </c>
      <c r="I17" s="26">
        <f t="shared" si="5"/>
        <v>101300</v>
      </c>
      <c r="J17" s="26">
        <f t="shared" si="6"/>
        <v>2.0124824921938581E-5</v>
      </c>
      <c r="K17" s="28">
        <v>188.980198019802</v>
      </c>
      <c r="L17" s="27">
        <f t="shared" si="7"/>
        <v>1.88980198019802E-4</v>
      </c>
      <c r="M17" s="29">
        <f t="shared" si="8"/>
        <v>4.7762865441819992E-3</v>
      </c>
      <c r="N17" s="27">
        <f t="shared" si="9"/>
        <v>7.9626575241690101E-7</v>
      </c>
      <c r="O17" s="21">
        <f t="shared" si="10"/>
        <v>2.032E-3</v>
      </c>
      <c r="P17" s="21">
        <v>1.45111777225214E-10</v>
      </c>
      <c r="Q17" s="2">
        <v>0.32</v>
      </c>
      <c r="R17" s="27">
        <f t="shared" si="11"/>
        <v>132000</v>
      </c>
      <c r="S17" s="2">
        <v>5.3058450282772E-3</v>
      </c>
      <c r="T17" s="11">
        <v>0.11</v>
      </c>
      <c r="U17" s="30">
        <f t="shared" si="12"/>
        <v>111000.00000000001</v>
      </c>
      <c r="V17" s="30">
        <f t="shared" si="1"/>
        <v>20.976801980198026</v>
      </c>
      <c r="W17" s="11">
        <f t="shared" si="13"/>
        <v>247.43768280126193</v>
      </c>
      <c r="X17" s="27">
        <f t="shared" si="14"/>
        <v>3.2066645303467565E-14</v>
      </c>
      <c r="Y17" s="27">
        <f t="shared" si="15"/>
        <v>19310533801.748169</v>
      </c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</row>
    <row r="18" spans="1:76" s="4" customFormat="1" x14ac:dyDescent="0.3">
      <c r="A18" s="26">
        <v>48</v>
      </c>
      <c r="B18" s="26">
        <f t="shared" si="2"/>
        <v>0.8</v>
      </c>
      <c r="C18" s="26">
        <v>20</v>
      </c>
      <c r="D18" s="26">
        <f t="shared" si="0"/>
        <v>29.146000000000001</v>
      </c>
      <c r="E18" s="26">
        <f t="shared" si="3"/>
        <v>4.8576666666666667E-7</v>
      </c>
      <c r="F18" s="26">
        <v>21.1</v>
      </c>
      <c r="G18" s="26">
        <f t="shared" si="4"/>
        <v>294.10000000000002</v>
      </c>
      <c r="H18" s="26">
        <v>101.3</v>
      </c>
      <c r="I18" s="26">
        <f t="shared" si="5"/>
        <v>101300</v>
      </c>
      <c r="J18" s="26">
        <f t="shared" si="6"/>
        <v>2.0124824921938581E-5</v>
      </c>
      <c r="K18" s="28">
        <v>215.31683168316835</v>
      </c>
      <c r="L18" s="27">
        <f t="shared" si="7"/>
        <v>2.1531683168316833E-4</v>
      </c>
      <c r="M18" s="29">
        <f t="shared" si="8"/>
        <v>4.7762865441819992E-3</v>
      </c>
      <c r="N18" s="27">
        <f t="shared" si="9"/>
        <v>9.0723483616127976E-7</v>
      </c>
      <c r="O18" s="21">
        <f t="shared" si="10"/>
        <v>2.032E-3</v>
      </c>
      <c r="P18" s="21">
        <v>1.45111777225214E-10</v>
      </c>
      <c r="Q18" s="2">
        <v>0.32</v>
      </c>
      <c r="R18" s="27">
        <f t="shared" si="11"/>
        <v>132000</v>
      </c>
      <c r="S18" s="2">
        <v>5.3058450282772E-3</v>
      </c>
      <c r="T18" s="11">
        <v>0.11</v>
      </c>
      <c r="U18" s="30">
        <f t="shared" si="12"/>
        <v>111000.00000000001</v>
      </c>
      <c r="V18" s="30">
        <f t="shared" si="1"/>
        <v>23.900168316831689</v>
      </c>
      <c r="W18" s="11">
        <f t="shared" si="13"/>
        <v>309.50618597398244</v>
      </c>
      <c r="X18" s="27">
        <f t="shared" si="14"/>
        <v>3.6552732892960858E-14</v>
      </c>
      <c r="Y18" s="27">
        <f t="shared" si="15"/>
        <v>22012055748.141029</v>
      </c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</row>
    <row r="19" spans="1:76" s="4" customFormat="1" x14ac:dyDescent="0.3">
      <c r="A19" s="26">
        <v>51</v>
      </c>
      <c r="B19" s="26">
        <f t="shared" si="2"/>
        <v>0.85</v>
      </c>
      <c r="C19" s="26">
        <v>20</v>
      </c>
      <c r="D19" s="26">
        <f t="shared" si="0"/>
        <v>29.146000000000001</v>
      </c>
      <c r="E19" s="26">
        <f t="shared" si="3"/>
        <v>4.8576666666666667E-7</v>
      </c>
      <c r="F19" s="26">
        <v>21.1</v>
      </c>
      <c r="G19" s="26">
        <f t="shared" si="4"/>
        <v>294.10000000000002</v>
      </c>
      <c r="H19" s="26">
        <v>101.3</v>
      </c>
      <c r="I19" s="26">
        <f t="shared" si="5"/>
        <v>101300</v>
      </c>
      <c r="J19" s="26">
        <f t="shared" si="6"/>
        <v>2.0124824921938581E-5</v>
      </c>
      <c r="K19" s="28">
        <v>239.07920792079213</v>
      </c>
      <c r="L19" s="27">
        <f t="shared" si="7"/>
        <v>2.3907920792079213E-4</v>
      </c>
      <c r="M19" s="29">
        <f t="shared" si="8"/>
        <v>4.7762865441819992E-3</v>
      </c>
      <c r="N19" s="27">
        <f t="shared" si="9"/>
        <v>1.0073573177351553E-6</v>
      </c>
      <c r="O19" s="21">
        <f t="shared" si="10"/>
        <v>2.032E-3</v>
      </c>
      <c r="P19" s="21">
        <v>1.45111777225214E-10</v>
      </c>
      <c r="Q19" s="2">
        <v>0.32</v>
      </c>
      <c r="R19" s="27">
        <f t="shared" si="11"/>
        <v>132000</v>
      </c>
      <c r="S19" s="2">
        <v>5.3058450282772E-3</v>
      </c>
      <c r="T19" s="11">
        <v>0.11</v>
      </c>
      <c r="U19" s="30">
        <f t="shared" si="12"/>
        <v>111000.00000000001</v>
      </c>
      <c r="V19" s="30">
        <f t="shared" si="1"/>
        <v>26.537792079207929</v>
      </c>
      <c r="W19" s="11">
        <f t="shared" si="13"/>
        <v>370.85159400963471</v>
      </c>
      <c r="X19" s="27">
        <f t="shared" si="14"/>
        <v>4.0605609629245975E-14</v>
      </c>
      <c r="Y19" s="27">
        <f t="shared" si="15"/>
        <v>24452698118.731926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</row>
    <row r="20" spans="1:76" s="4" customFormat="1" x14ac:dyDescent="0.3">
      <c r="A20" s="26">
        <v>54</v>
      </c>
      <c r="B20" s="26">
        <f t="shared" si="2"/>
        <v>0.9</v>
      </c>
      <c r="C20" s="26">
        <v>20</v>
      </c>
      <c r="D20" s="26">
        <f t="shared" si="0"/>
        <v>29.146000000000001</v>
      </c>
      <c r="E20" s="26">
        <f t="shared" si="3"/>
        <v>4.8576666666666667E-7</v>
      </c>
      <c r="F20" s="26">
        <v>21.1</v>
      </c>
      <c r="G20" s="26">
        <f t="shared" si="4"/>
        <v>294.10000000000002</v>
      </c>
      <c r="H20" s="26">
        <v>101.3</v>
      </c>
      <c r="I20" s="26">
        <f t="shared" si="5"/>
        <v>101300</v>
      </c>
      <c r="J20" s="26">
        <f t="shared" si="6"/>
        <v>2.0124824921938581E-5</v>
      </c>
      <c r="K20" s="28">
        <v>260.04455445544556</v>
      </c>
      <c r="L20" s="27">
        <f t="shared" si="7"/>
        <v>2.6004455445544555E-4</v>
      </c>
      <c r="M20" s="29">
        <f t="shared" si="8"/>
        <v>4.7762865441819992E-3</v>
      </c>
      <c r="N20" s="27">
        <f t="shared" si="9"/>
        <v>1.0956945488737726E-6</v>
      </c>
      <c r="O20" s="21">
        <f t="shared" si="10"/>
        <v>2.032E-3</v>
      </c>
      <c r="P20" s="21">
        <v>1.45111777225214E-10</v>
      </c>
      <c r="Q20" s="2">
        <v>0.32</v>
      </c>
      <c r="R20" s="27">
        <f t="shared" si="11"/>
        <v>132000</v>
      </c>
      <c r="S20" s="2">
        <v>5.3058450282772E-3</v>
      </c>
      <c r="T20" s="11">
        <v>0.11</v>
      </c>
      <c r="U20" s="30">
        <f t="shared" si="12"/>
        <v>111000.00000000001</v>
      </c>
      <c r="V20" s="30">
        <f t="shared" si="1"/>
        <v>28.864945544554459</v>
      </c>
      <c r="W20" s="11">
        <f t="shared" si="13"/>
        <v>429.13690434705688</v>
      </c>
      <c r="X20" s="27">
        <f t="shared" si="14"/>
        <v>4.4185964413912963E-14</v>
      </c>
      <c r="Y20" s="27">
        <f t="shared" si="15"/>
        <v>26608787770.058388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</row>
    <row r="21" spans="1:76" s="4" customFormat="1" x14ac:dyDescent="0.3">
      <c r="A21" s="26">
        <v>57</v>
      </c>
      <c r="B21" s="26">
        <f t="shared" si="2"/>
        <v>0.95</v>
      </c>
      <c r="C21" s="26">
        <v>20</v>
      </c>
      <c r="D21" s="26">
        <f t="shared" si="0"/>
        <v>29.146000000000001</v>
      </c>
      <c r="E21" s="26">
        <f t="shared" si="3"/>
        <v>4.8576666666666667E-7</v>
      </c>
      <c r="F21" s="26">
        <v>21.1</v>
      </c>
      <c r="G21" s="26">
        <f t="shared" si="4"/>
        <v>294.10000000000002</v>
      </c>
      <c r="H21" s="26">
        <v>101.3</v>
      </c>
      <c r="I21" s="26">
        <f t="shared" si="5"/>
        <v>101300</v>
      </c>
      <c r="J21" s="26">
        <f t="shared" si="6"/>
        <v>2.0124824921938581E-5</v>
      </c>
      <c r="K21" s="28">
        <v>280.41584158415844</v>
      </c>
      <c r="L21" s="27">
        <f t="shared" si="7"/>
        <v>2.8041584158415843E-4</v>
      </c>
      <c r="M21" s="29">
        <f t="shared" si="8"/>
        <v>4.7762865441819992E-3</v>
      </c>
      <c r="N21" s="27">
        <f t="shared" si="9"/>
        <v>1.1815287179730428E-6</v>
      </c>
      <c r="O21" s="21">
        <f t="shared" si="10"/>
        <v>2.032E-3</v>
      </c>
      <c r="P21" s="21">
        <v>1.45111777225214E-10</v>
      </c>
      <c r="Q21" s="2">
        <v>0.32</v>
      </c>
      <c r="R21" s="27">
        <f t="shared" si="11"/>
        <v>132000</v>
      </c>
      <c r="S21" s="2">
        <v>5.3058450282772E-3</v>
      </c>
      <c r="T21" s="11">
        <v>0.11</v>
      </c>
      <c r="U21" s="30">
        <f t="shared" si="12"/>
        <v>111000.00000000001</v>
      </c>
      <c r="V21" s="30">
        <f t="shared" si="1"/>
        <v>31.126158415841591</v>
      </c>
      <c r="W21" s="11">
        <f t="shared" si="13"/>
        <v>489.47257489875335</v>
      </c>
      <c r="X21" s="27">
        <f t="shared" si="14"/>
        <v>4.7669250490949253E-14</v>
      </c>
      <c r="Y21" s="27">
        <f t="shared" si="15"/>
        <v>28706422645.649643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</row>
    <row r="22" spans="1:76" s="4" customFormat="1" x14ac:dyDescent="0.3">
      <c r="A22" s="26">
        <v>60</v>
      </c>
      <c r="B22" s="26">
        <f t="shared" si="2"/>
        <v>1</v>
      </c>
      <c r="C22" s="26">
        <v>20</v>
      </c>
      <c r="D22" s="26">
        <f t="shared" si="0"/>
        <v>29.146000000000001</v>
      </c>
      <c r="E22" s="26">
        <f t="shared" si="3"/>
        <v>4.8576666666666667E-7</v>
      </c>
      <c r="F22" s="26">
        <v>21.1</v>
      </c>
      <c r="G22" s="26">
        <f t="shared" si="4"/>
        <v>294.10000000000002</v>
      </c>
      <c r="H22" s="26">
        <v>101.3</v>
      </c>
      <c r="I22" s="26">
        <f t="shared" si="5"/>
        <v>101300</v>
      </c>
      <c r="J22" s="26">
        <f t="shared" si="6"/>
        <v>2.0124824921938581E-5</v>
      </c>
      <c r="K22" s="28">
        <v>298.13861386138615</v>
      </c>
      <c r="L22" s="27">
        <f t="shared" si="7"/>
        <v>2.9813861386138613E-4</v>
      </c>
      <c r="M22" s="29">
        <f t="shared" si="8"/>
        <v>4.7762865441819992E-3</v>
      </c>
      <c r="N22" s="27">
        <f t="shared" si="9"/>
        <v>1.2562034021468916E-6</v>
      </c>
      <c r="O22" s="21">
        <f t="shared" si="10"/>
        <v>2.032E-3</v>
      </c>
      <c r="P22" s="21">
        <v>1.45111777225214E-10</v>
      </c>
      <c r="Q22" s="2">
        <v>0.32</v>
      </c>
      <c r="R22" s="27">
        <f t="shared" si="11"/>
        <v>132000</v>
      </c>
      <c r="S22" s="2">
        <v>5.3058450282772E-3</v>
      </c>
      <c r="T22" s="11">
        <v>0.11</v>
      </c>
      <c r="U22" s="30">
        <f t="shared" si="12"/>
        <v>111000.00000000001</v>
      </c>
      <c r="V22" s="30">
        <f t="shared" si="1"/>
        <v>33.093386138613866</v>
      </c>
      <c r="W22" s="11">
        <f t="shared" si="13"/>
        <v>544.9096311001631</v>
      </c>
      <c r="X22" s="27">
        <f t="shared" si="14"/>
        <v>5.0703404159409207E-14</v>
      </c>
      <c r="Y22" s="27">
        <f t="shared" si="15"/>
        <v>30533589984.796227</v>
      </c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</row>
    <row r="23" spans="1:76" s="4" customFormat="1" x14ac:dyDescent="0.3">
      <c r="A23" s="26">
        <v>63</v>
      </c>
      <c r="B23" s="26">
        <f t="shared" si="2"/>
        <v>1.05</v>
      </c>
      <c r="C23" s="26">
        <v>20</v>
      </c>
      <c r="D23" s="26">
        <f t="shared" si="0"/>
        <v>29.146000000000001</v>
      </c>
      <c r="E23" s="26">
        <f t="shared" si="3"/>
        <v>4.8576666666666667E-7</v>
      </c>
      <c r="F23" s="26">
        <v>21.1</v>
      </c>
      <c r="G23" s="26">
        <f t="shared" si="4"/>
        <v>294.10000000000002</v>
      </c>
      <c r="H23" s="26">
        <v>101.3</v>
      </c>
      <c r="I23" s="26">
        <f t="shared" si="5"/>
        <v>101300</v>
      </c>
      <c r="J23" s="26">
        <f t="shared" si="6"/>
        <v>2.0124824921938581E-5</v>
      </c>
      <c r="K23" s="28">
        <v>309.25247524752479</v>
      </c>
      <c r="L23" s="27">
        <f t="shared" si="7"/>
        <v>3.0925247524752481E-4</v>
      </c>
      <c r="M23" s="29">
        <f t="shared" si="8"/>
        <v>4.7762865441819992E-3</v>
      </c>
      <c r="N23" s="27">
        <f t="shared" si="9"/>
        <v>1.3030315211330066E-6</v>
      </c>
      <c r="O23" s="21">
        <f t="shared" si="10"/>
        <v>2.032E-3</v>
      </c>
      <c r="P23" s="21">
        <v>1.45111777225214E-10</v>
      </c>
      <c r="Q23" s="2">
        <v>0.32</v>
      </c>
      <c r="R23" s="27">
        <f t="shared" si="11"/>
        <v>132000</v>
      </c>
      <c r="S23" s="2">
        <v>5.3058450282772E-3</v>
      </c>
      <c r="T23" s="11">
        <v>0.11</v>
      </c>
      <c r="U23" s="30">
        <f t="shared" si="12"/>
        <v>111000.00000000001</v>
      </c>
      <c r="V23" s="30">
        <f t="shared" si="1"/>
        <v>34.327024752475261</v>
      </c>
      <c r="W23" s="11">
        <f t="shared" si="13"/>
        <v>581.06430090039908</v>
      </c>
      <c r="X23" s="27">
        <f t="shared" si="14"/>
        <v>5.2607969173649372E-14</v>
      </c>
      <c r="Y23" s="27">
        <f t="shared" si="15"/>
        <v>31680519036.371655</v>
      </c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</row>
    <row r="24" spans="1:76" s="4" customFormat="1" x14ac:dyDescent="0.3">
      <c r="A24" s="26">
        <v>66</v>
      </c>
      <c r="B24" s="26">
        <f t="shared" si="2"/>
        <v>1.1000000000000001</v>
      </c>
      <c r="C24" s="26">
        <v>20</v>
      </c>
      <c r="D24" s="26">
        <f t="shared" si="0"/>
        <v>29.146000000000001</v>
      </c>
      <c r="E24" s="26">
        <f t="shared" si="3"/>
        <v>4.8576666666666667E-7</v>
      </c>
      <c r="F24" s="26">
        <v>21.1</v>
      </c>
      <c r="G24" s="26">
        <f t="shared" si="4"/>
        <v>294.10000000000002</v>
      </c>
      <c r="H24" s="26">
        <v>101.3</v>
      </c>
      <c r="I24" s="26">
        <f t="shared" si="5"/>
        <v>101300</v>
      </c>
      <c r="J24" s="26">
        <f t="shared" si="6"/>
        <v>2.0124824921938581E-5</v>
      </c>
      <c r="K24" s="28">
        <v>324.42574257425741</v>
      </c>
      <c r="L24" s="27">
        <f t="shared" si="7"/>
        <v>3.2442574257425744E-4</v>
      </c>
      <c r="M24" s="29">
        <f t="shared" si="8"/>
        <v>4.7762865441819992E-3</v>
      </c>
      <c r="N24" s="27">
        <f t="shared" si="9"/>
        <v>1.3669638973879915E-6</v>
      </c>
      <c r="O24" s="21">
        <f t="shared" si="10"/>
        <v>2.032E-3</v>
      </c>
      <c r="P24" s="21">
        <v>1.45111777225214E-10</v>
      </c>
      <c r="Q24" s="2">
        <v>0.32</v>
      </c>
      <c r="R24" s="27">
        <f t="shared" si="11"/>
        <v>132000</v>
      </c>
      <c r="S24" s="2">
        <v>5.3058450282772E-3</v>
      </c>
      <c r="T24" s="11">
        <v>0.11</v>
      </c>
      <c r="U24" s="30">
        <f t="shared" si="12"/>
        <v>111000.00000000001</v>
      </c>
      <c r="V24" s="30">
        <f t="shared" si="1"/>
        <v>36.011257425742578</v>
      </c>
      <c r="W24" s="11">
        <f t="shared" si="13"/>
        <v>632.14688828278884</v>
      </c>
      <c r="X24" s="27">
        <f t="shared" si="14"/>
        <v>5.5210604626555971E-14</v>
      </c>
      <c r="Y24" s="27">
        <f t="shared" si="15"/>
        <v>33247826106.112007</v>
      </c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</row>
    <row r="25" spans="1:76" s="4" customFormat="1" x14ac:dyDescent="0.3">
      <c r="A25" s="26">
        <v>69</v>
      </c>
      <c r="B25" s="26">
        <f t="shared" si="2"/>
        <v>1.1499999999999999</v>
      </c>
      <c r="C25" s="26">
        <v>20</v>
      </c>
      <c r="D25" s="26">
        <f t="shared" si="0"/>
        <v>29.146000000000001</v>
      </c>
      <c r="E25" s="26">
        <f t="shared" si="3"/>
        <v>4.8576666666666667E-7</v>
      </c>
      <c r="F25" s="26">
        <v>21.1</v>
      </c>
      <c r="G25" s="26">
        <f t="shared" si="4"/>
        <v>294.10000000000002</v>
      </c>
      <c r="H25" s="26">
        <v>101.3</v>
      </c>
      <c r="I25" s="26">
        <f t="shared" si="5"/>
        <v>101300</v>
      </c>
      <c r="J25" s="26">
        <f t="shared" si="6"/>
        <v>2.0124824921938581E-5</v>
      </c>
      <c r="K25" s="28">
        <v>351.28217821782181</v>
      </c>
      <c r="L25" s="27">
        <f t="shared" si="7"/>
        <v>3.5128217821782181E-4</v>
      </c>
      <c r="M25" s="29">
        <f t="shared" si="8"/>
        <v>4.7762865441819992E-3</v>
      </c>
      <c r="N25" s="27">
        <f t="shared" si="9"/>
        <v>1.4801231604167988E-6</v>
      </c>
      <c r="O25" s="21">
        <f t="shared" si="10"/>
        <v>2.032E-3</v>
      </c>
      <c r="P25" s="21">
        <v>1.45111777225214E-10</v>
      </c>
      <c r="Q25" s="2">
        <v>0.32</v>
      </c>
      <c r="R25" s="27">
        <f t="shared" si="11"/>
        <v>132000</v>
      </c>
      <c r="S25" s="2">
        <v>5.3058450282772E-3</v>
      </c>
      <c r="T25" s="11">
        <v>0.11</v>
      </c>
      <c r="U25" s="30">
        <f t="shared" si="12"/>
        <v>111000.00000000001</v>
      </c>
      <c r="V25" s="30">
        <f t="shared" si="1"/>
        <v>38.992321782178223</v>
      </c>
      <c r="W25" s="11">
        <f t="shared" si="13"/>
        <v>727.4103313594976</v>
      </c>
      <c r="X25" s="27">
        <f t="shared" si="14"/>
        <v>5.982440151259904E-14</v>
      </c>
      <c r="Y25" s="27">
        <f t="shared" si="15"/>
        <v>36026254590.887146</v>
      </c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</row>
    <row r="26" spans="1:76" s="4" customFormat="1" x14ac:dyDescent="0.3">
      <c r="A26" s="26">
        <v>72</v>
      </c>
      <c r="B26" s="26">
        <f t="shared" si="2"/>
        <v>1.2</v>
      </c>
      <c r="C26" s="26">
        <v>20</v>
      </c>
      <c r="D26" s="26">
        <f t="shared" si="0"/>
        <v>29.146000000000001</v>
      </c>
      <c r="E26" s="26">
        <f t="shared" si="3"/>
        <v>4.8576666666666667E-7</v>
      </c>
      <c r="F26" s="26">
        <v>21.1</v>
      </c>
      <c r="G26" s="26">
        <f t="shared" si="4"/>
        <v>294.10000000000002</v>
      </c>
      <c r="H26" s="26">
        <v>101.3</v>
      </c>
      <c r="I26" s="26">
        <f t="shared" si="5"/>
        <v>101300</v>
      </c>
      <c r="J26" s="26">
        <f t="shared" si="6"/>
        <v>2.0124824921938581E-5</v>
      </c>
      <c r="K26" s="28">
        <v>342.17326732673268</v>
      </c>
      <c r="L26" s="27">
        <f t="shared" si="7"/>
        <v>3.4217326732673267E-4</v>
      </c>
      <c r="M26" s="29">
        <f t="shared" si="8"/>
        <v>4.7762865441819992E-3</v>
      </c>
      <c r="N26" s="27">
        <f t="shared" si="9"/>
        <v>1.4417428758134797E-6</v>
      </c>
      <c r="O26" s="21">
        <f t="shared" si="10"/>
        <v>2.032E-3</v>
      </c>
      <c r="P26" s="21">
        <v>1.45111777225214E-10</v>
      </c>
      <c r="Q26" s="2">
        <v>0.32</v>
      </c>
      <c r="R26" s="27">
        <f t="shared" si="11"/>
        <v>132000</v>
      </c>
      <c r="S26" s="2">
        <v>5.3058450282772E-3</v>
      </c>
      <c r="T26" s="11">
        <v>0.11</v>
      </c>
      <c r="U26" s="30">
        <f t="shared" si="12"/>
        <v>111000.00000000001</v>
      </c>
      <c r="V26" s="30">
        <f t="shared" si="1"/>
        <v>37.981232673267328</v>
      </c>
      <c r="W26" s="11">
        <f t="shared" si="13"/>
        <v>694.40760904598937</v>
      </c>
      <c r="X26" s="27">
        <f t="shared" si="14"/>
        <v>5.8258480315999331E-14</v>
      </c>
      <c r="Y26" s="27">
        <f t="shared" si="15"/>
        <v>35083256846.2948</v>
      </c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</row>
    <row r="27" spans="1:76" s="4" customFormat="1" x14ac:dyDescent="0.3">
      <c r="A27" s="26">
        <v>75</v>
      </c>
      <c r="B27" s="26">
        <f t="shared" si="2"/>
        <v>1.25</v>
      </c>
      <c r="C27" s="26">
        <v>20</v>
      </c>
      <c r="D27" s="26">
        <f t="shared" si="0"/>
        <v>29.146000000000001</v>
      </c>
      <c r="E27" s="26">
        <f t="shared" si="3"/>
        <v>4.8576666666666667E-7</v>
      </c>
      <c r="F27" s="26">
        <v>21.1</v>
      </c>
      <c r="G27" s="26">
        <f t="shared" si="4"/>
        <v>294.10000000000002</v>
      </c>
      <c r="H27" s="26">
        <v>101.3</v>
      </c>
      <c r="I27" s="26">
        <f t="shared" si="5"/>
        <v>101300</v>
      </c>
      <c r="J27" s="26">
        <f t="shared" si="6"/>
        <v>2.0124824921938581E-5</v>
      </c>
      <c r="K27" s="28">
        <v>351.480198019802</v>
      </c>
      <c r="L27" s="27">
        <f t="shared" si="7"/>
        <v>3.5148019801980199E-4</v>
      </c>
      <c r="M27" s="29">
        <f t="shared" si="8"/>
        <v>4.7762865441819992E-3</v>
      </c>
      <c r="N27" s="27">
        <f t="shared" si="9"/>
        <v>1.4809575144299142E-6</v>
      </c>
      <c r="O27" s="21">
        <f t="shared" si="10"/>
        <v>2.032E-3</v>
      </c>
      <c r="P27" s="21">
        <v>1.45111777225214E-10</v>
      </c>
      <c r="Q27" s="2">
        <v>0.32</v>
      </c>
      <c r="R27" s="27">
        <f t="shared" si="11"/>
        <v>132000</v>
      </c>
      <c r="S27" s="2">
        <v>5.3058450282772E-3</v>
      </c>
      <c r="T27" s="11">
        <v>0.11</v>
      </c>
      <c r="U27" s="30">
        <f t="shared" si="12"/>
        <v>111000.00000000001</v>
      </c>
      <c r="V27" s="30">
        <f t="shared" si="1"/>
        <v>39.014301980198027</v>
      </c>
      <c r="W27" s="11">
        <f t="shared" si="13"/>
        <v>728.13565336533907</v>
      </c>
      <c r="X27" s="27">
        <f t="shared" si="14"/>
        <v>5.9858455611468318E-14</v>
      </c>
      <c r="Y27" s="27">
        <f t="shared" si="15"/>
        <v>36046761969.226219</v>
      </c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</row>
    <row r="28" spans="1:76" s="4" customFormat="1" x14ac:dyDescent="0.3">
      <c r="A28" s="26">
        <v>78</v>
      </c>
      <c r="B28" s="26">
        <f t="shared" si="2"/>
        <v>1.3</v>
      </c>
      <c r="C28" s="26">
        <v>20</v>
      </c>
      <c r="D28" s="26">
        <f t="shared" si="0"/>
        <v>29.146000000000001</v>
      </c>
      <c r="E28" s="26">
        <f t="shared" si="3"/>
        <v>4.8576666666666667E-7</v>
      </c>
      <c r="F28" s="26">
        <v>21.1</v>
      </c>
      <c r="G28" s="26">
        <f t="shared" si="4"/>
        <v>294.10000000000002</v>
      </c>
      <c r="H28" s="26">
        <v>101.3</v>
      </c>
      <c r="I28" s="26">
        <f t="shared" si="5"/>
        <v>101300</v>
      </c>
      <c r="J28" s="26">
        <f t="shared" si="6"/>
        <v>2.0124824921938581E-5</v>
      </c>
      <c r="K28" s="28">
        <v>365.91089108910893</v>
      </c>
      <c r="L28" s="27">
        <f t="shared" si="7"/>
        <v>3.6591089108910891E-4</v>
      </c>
      <c r="M28" s="29">
        <f t="shared" si="8"/>
        <v>4.7762865441819992E-3</v>
      </c>
      <c r="N28" s="27">
        <f t="shared" si="9"/>
        <v>1.5417610631357157E-6</v>
      </c>
      <c r="O28" s="21">
        <f t="shared" si="10"/>
        <v>2.032E-3</v>
      </c>
      <c r="P28" s="21">
        <v>1.45111777225214E-10</v>
      </c>
      <c r="Q28" s="2">
        <v>0.32</v>
      </c>
      <c r="R28" s="27">
        <f t="shared" si="11"/>
        <v>132000</v>
      </c>
      <c r="S28" s="2">
        <v>5.3058450282772E-3</v>
      </c>
      <c r="T28" s="11">
        <v>0.11</v>
      </c>
      <c r="U28" s="30">
        <f t="shared" si="12"/>
        <v>111000.00000000001</v>
      </c>
      <c r="V28" s="30">
        <f t="shared" si="1"/>
        <v>40.616108910891093</v>
      </c>
      <c r="W28" s="11">
        <f t="shared" si="13"/>
        <v>781.8932829651045</v>
      </c>
      <c r="X28" s="27">
        <f t="shared" si="14"/>
        <v>6.2341588949080809E-14</v>
      </c>
      <c r="Y28" s="27">
        <f t="shared" si="15"/>
        <v>37542104865.136467</v>
      </c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</row>
    <row r="29" spans="1:76" s="4" customFormat="1" x14ac:dyDescent="0.3">
      <c r="A29" s="26">
        <v>81</v>
      </c>
      <c r="B29" s="26">
        <f t="shared" si="2"/>
        <v>1.35</v>
      </c>
      <c r="C29" s="26">
        <v>20</v>
      </c>
      <c r="D29" s="26">
        <f t="shared" si="0"/>
        <v>29.146000000000001</v>
      </c>
      <c r="E29" s="26">
        <f t="shared" si="3"/>
        <v>4.8576666666666667E-7</v>
      </c>
      <c r="F29" s="26">
        <v>21.1</v>
      </c>
      <c r="G29" s="26">
        <f t="shared" si="4"/>
        <v>294.10000000000002</v>
      </c>
      <c r="H29" s="26">
        <v>101.3</v>
      </c>
      <c r="I29" s="26">
        <f t="shared" si="5"/>
        <v>101300</v>
      </c>
      <c r="J29" s="26">
        <f t="shared" si="6"/>
        <v>2.0124824921938581E-5</v>
      </c>
      <c r="K29" s="28">
        <v>370.56435643564362</v>
      </c>
      <c r="L29" s="27">
        <f t="shared" si="7"/>
        <v>3.7056435643564363E-4</v>
      </c>
      <c r="M29" s="29">
        <f t="shared" si="8"/>
        <v>4.7762865441819992E-3</v>
      </c>
      <c r="N29" s="27">
        <f t="shared" si="9"/>
        <v>1.5613683824439332E-6</v>
      </c>
      <c r="O29" s="21">
        <f t="shared" si="10"/>
        <v>2.032E-3</v>
      </c>
      <c r="P29" s="21">
        <v>1.45111777225214E-10</v>
      </c>
      <c r="Q29" s="2">
        <v>0.32</v>
      </c>
      <c r="R29" s="27">
        <f t="shared" si="11"/>
        <v>132000</v>
      </c>
      <c r="S29" s="2">
        <v>5.3058450282772E-3</v>
      </c>
      <c r="T29" s="11">
        <v>0.11</v>
      </c>
      <c r="U29" s="30">
        <f t="shared" si="12"/>
        <v>111000.00000000001</v>
      </c>
      <c r="V29" s="30">
        <f t="shared" si="1"/>
        <v>41.132643564356449</v>
      </c>
      <c r="W29" s="11">
        <f t="shared" si="13"/>
        <v>799.60641499633812</v>
      </c>
      <c r="X29" s="27">
        <f t="shared" si="14"/>
        <v>6.3142940679762335E-14</v>
      </c>
      <c r="Y29" s="27">
        <f t="shared" si="15"/>
        <v>38024678877.352882</v>
      </c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</row>
    <row r="30" spans="1:76" s="4" customFormat="1" x14ac:dyDescent="0.3">
      <c r="A30" s="26">
        <v>84</v>
      </c>
      <c r="B30" s="26">
        <f t="shared" si="2"/>
        <v>1.4</v>
      </c>
      <c r="C30" s="26">
        <v>20</v>
      </c>
      <c r="D30" s="26">
        <f t="shared" si="0"/>
        <v>29.146000000000001</v>
      </c>
      <c r="E30" s="26">
        <f t="shared" si="3"/>
        <v>4.8576666666666667E-7</v>
      </c>
      <c r="F30" s="26">
        <v>21.1</v>
      </c>
      <c r="G30" s="26">
        <f t="shared" si="4"/>
        <v>294.10000000000002</v>
      </c>
      <c r="H30" s="26">
        <v>101.3</v>
      </c>
      <c r="I30" s="26">
        <f t="shared" si="5"/>
        <v>101300</v>
      </c>
      <c r="J30" s="26">
        <f t="shared" si="6"/>
        <v>2.0124824921938581E-5</v>
      </c>
      <c r="K30" s="28">
        <v>368.16336633663371</v>
      </c>
      <c r="L30" s="27">
        <f t="shared" si="7"/>
        <v>3.6816336633663374E-4</v>
      </c>
      <c r="M30" s="29">
        <f t="shared" si="8"/>
        <v>4.7762865441819992E-3</v>
      </c>
      <c r="N30" s="27">
        <f t="shared" si="9"/>
        <v>1.5512518400349063E-6</v>
      </c>
      <c r="O30" s="21">
        <f t="shared" si="10"/>
        <v>2.032E-3</v>
      </c>
      <c r="P30" s="21">
        <v>1.45111777225214E-10</v>
      </c>
      <c r="Q30" s="2">
        <v>0.32</v>
      </c>
      <c r="R30" s="27">
        <f t="shared" si="11"/>
        <v>132000</v>
      </c>
      <c r="S30" s="2">
        <v>5.3058450282772E-3</v>
      </c>
      <c r="T30" s="11">
        <v>0.11</v>
      </c>
      <c r="U30" s="30">
        <f t="shared" si="12"/>
        <v>111000.00000000001</v>
      </c>
      <c r="V30" s="30">
        <f t="shared" si="1"/>
        <v>40.866133663366348</v>
      </c>
      <c r="W30" s="11">
        <f t="shared" si="13"/>
        <v>790.44421068461088</v>
      </c>
      <c r="X30" s="27">
        <f t="shared" si="14"/>
        <v>6.2729439281626683E-14</v>
      </c>
      <c r="Y30" s="27">
        <f t="shared" si="15"/>
        <v>37775668335.395592</v>
      </c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</row>
    <row r="31" spans="1:76" s="4" customFormat="1" x14ac:dyDescent="0.3">
      <c r="A31" s="26">
        <v>87</v>
      </c>
      <c r="B31" s="26">
        <f t="shared" si="2"/>
        <v>1.45</v>
      </c>
      <c r="C31" s="26">
        <v>20</v>
      </c>
      <c r="D31" s="26">
        <f t="shared" si="0"/>
        <v>29.146000000000001</v>
      </c>
      <c r="E31" s="26">
        <f t="shared" si="3"/>
        <v>4.8576666666666667E-7</v>
      </c>
      <c r="F31" s="26">
        <v>21.1</v>
      </c>
      <c r="G31" s="26">
        <f t="shared" si="4"/>
        <v>294.10000000000002</v>
      </c>
      <c r="H31" s="26">
        <v>101.3</v>
      </c>
      <c r="I31" s="26">
        <f t="shared" si="5"/>
        <v>101300</v>
      </c>
      <c r="J31" s="26">
        <f t="shared" si="6"/>
        <v>2.0124824921938581E-5</v>
      </c>
      <c r="K31" s="28">
        <v>372.99009900990103</v>
      </c>
      <c r="L31" s="27">
        <f t="shared" si="7"/>
        <v>3.7299009900990105E-4</v>
      </c>
      <c r="M31" s="29">
        <f t="shared" si="8"/>
        <v>4.7762865441819992E-3</v>
      </c>
      <c r="N31" s="27">
        <f t="shared" si="9"/>
        <v>1.5715892191045998E-6</v>
      </c>
      <c r="O31" s="21">
        <f t="shared" si="10"/>
        <v>2.032E-3</v>
      </c>
      <c r="P31" s="21">
        <v>1.45111777225214E-10</v>
      </c>
      <c r="Q31" s="2">
        <v>0.32</v>
      </c>
      <c r="R31" s="27">
        <f t="shared" si="11"/>
        <v>132000</v>
      </c>
      <c r="S31" s="2">
        <v>5.3058450282772E-3</v>
      </c>
      <c r="T31" s="11">
        <v>0.11</v>
      </c>
      <c r="U31" s="30">
        <f t="shared" si="12"/>
        <v>111000.00000000001</v>
      </c>
      <c r="V31" s="30">
        <f t="shared" si="1"/>
        <v>41.401900990099023</v>
      </c>
      <c r="W31" s="11">
        <f t="shared" si="13"/>
        <v>808.91280103908014</v>
      </c>
      <c r="X31" s="27">
        <f t="shared" si="14"/>
        <v>6.3560787723590364E-14</v>
      </c>
      <c r="Y31" s="27">
        <f t="shared" si="15"/>
        <v>38276306367.146118</v>
      </c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</row>
    <row r="32" spans="1:76" s="4" customFormat="1" x14ac:dyDescent="0.3">
      <c r="A32" s="26">
        <v>90</v>
      </c>
      <c r="B32" s="26">
        <f t="shared" si="2"/>
        <v>1.5</v>
      </c>
      <c r="C32" s="26">
        <v>20</v>
      </c>
      <c r="D32" s="26">
        <f t="shared" si="0"/>
        <v>29.146000000000001</v>
      </c>
      <c r="E32" s="26">
        <f t="shared" si="3"/>
        <v>4.8576666666666667E-7</v>
      </c>
      <c r="F32" s="26">
        <v>21.1</v>
      </c>
      <c r="G32" s="26">
        <f t="shared" si="4"/>
        <v>294.10000000000002</v>
      </c>
      <c r="H32" s="26">
        <v>101.3</v>
      </c>
      <c r="I32" s="26">
        <f t="shared" si="5"/>
        <v>101300</v>
      </c>
      <c r="J32" s="26">
        <f t="shared" si="6"/>
        <v>2.0124824921938581E-5</v>
      </c>
      <c r="K32" s="28">
        <v>375.53960396039611</v>
      </c>
      <c r="L32" s="27">
        <f t="shared" si="7"/>
        <v>3.7553960396039611E-4</v>
      </c>
      <c r="M32" s="29">
        <f t="shared" si="8"/>
        <v>4.7762865441819992E-3</v>
      </c>
      <c r="N32" s="27">
        <f t="shared" si="9"/>
        <v>1.5823315270234634E-6</v>
      </c>
      <c r="O32" s="21">
        <f t="shared" si="10"/>
        <v>2.032E-3</v>
      </c>
      <c r="P32" s="21">
        <v>1.45111777225214E-10</v>
      </c>
      <c r="Q32" s="2">
        <v>0.32</v>
      </c>
      <c r="R32" s="27">
        <f t="shared" si="11"/>
        <v>132000</v>
      </c>
      <c r="S32" s="2">
        <v>5.3058450282772E-3</v>
      </c>
      <c r="T32" s="11">
        <v>0.11</v>
      </c>
      <c r="U32" s="30">
        <f t="shared" si="12"/>
        <v>111000.00000000001</v>
      </c>
      <c r="V32" s="30">
        <f t="shared" si="1"/>
        <v>41.684896039603977</v>
      </c>
      <c r="W32" s="11">
        <f t="shared" si="13"/>
        <v>818.7478417813827</v>
      </c>
      <c r="X32" s="27">
        <f t="shared" si="14"/>
        <v>6.4000043661861952E-14</v>
      </c>
      <c r="Y32" s="27">
        <f t="shared" si="15"/>
        <v>38540826293.173271</v>
      </c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</row>
    <row r="33" spans="1:76" s="4" customFormat="1" x14ac:dyDescent="0.3">
      <c r="A33" s="26">
        <v>93</v>
      </c>
      <c r="B33" s="26">
        <f t="shared" si="2"/>
        <v>1.55</v>
      </c>
      <c r="C33" s="26">
        <v>20</v>
      </c>
      <c r="D33" s="26">
        <f t="shared" si="0"/>
        <v>29.146000000000001</v>
      </c>
      <c r="E33" s="26">
        <f t="shared" si="3"/>
        <v>4.8576666666666667E-7</v>
      </c>
      <c r="F33" s="26">
        <v>21.1</v>
      </c>
      <c r="G33" s="26">
        <f t="shared" si="4"/>
        <v>294.10000000000002</v>
      </c>
      <c r="H33" s="26">
        <v>101.3</v>
      </c>
      <c r="I33" s="26">
        <f t="shared" si="5"/>
        <v>101300</v>
      </c>
      <c r="J33" s="26">
        <f t="shared" si="6"/>
        <v>2.0124824921938581E-5</v>
      </c>
      <c r="K33" s="28">
        <v>372.42079207920796</v>
      </c>
      <c r="L33" s="27">
        <f t="shared" si="7"/>
        <v>3.7242079207920793E-4</v>
      </c>
      <c r="M33" s="29">
        <f t="shared" si="8"/>
        <v>4.7762865441819992E-3</v>
      </c>
      <c r="N33" s="27">
        <f t="shared" si="9"/>
        <v>1.5691904513168919E-6</v>
      </c>
      <c r="O33" s="21">
        <f t="shared" si="10"/>
        <v>2.032E-3</v>
      </c>
      <c r="P33" s="21">
        <v>1.45111777225214E-10</v>
      </c>
      <c r="Q33" s="2">
        <v>0.32</v>
      </c>
      <c r="R33" s="27">
        <f t="shared" si="11"/>
        <v>132000</v>
      </c>
      <c r="S33" s="2">
        <v>5.3058450282772E-3</v>
      </c>
      <c r="T33" s="11">
        <v>0.11</v>
      </c>
      <c r="U33" s="30">
        <f t="shared" si="12"/>
        <v>111000.00000000001</v>
      </c>
      <c r="V33" s="30">
        <f t="shared" si="1"/>
        <v>41.338707920792089</v>
      </c>
      <c r="W33" s="11">
        <f t="shared" si="13"/>
        <v>806.72416214756072</v>
      </c>
      <c r="X33" s="27">
        <f t="shared" si="14"/>
        <v>6.3462714086277634E-14</v>
      </c>
      <c r="Y33" s="27">
        <f t="shared" si="15"/>
        <v>38217246422.756393</v>
      </c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</row>
    <row r="34" spans="1:76" s="4" customFormat="1" x14ac:dyDescent="0.3">
      <c r="A34" s="26">
        <v>96</v>
      </c>
      <c r="B34" s="26">
        <f t="shared" si="2"/>
        <v>1.6</v>
      </c>
      <c r="C34" s="26">
        <v>20</v>
      </c>
      <c r="D34" s="26">
        <f t="shared" si="0"/>
        <v>29.146000000000001</v>
      </c>
      <c r="E34" s="26">
        <f t="shared" si="3"/>
        <v>4.8576666666666667E-7</v>
      </c>
      <c r="F34" s="26">
        <v>21.1</v>
      </c>
      <c r="G34" s="26">
        <f t="shared" si="4"/>
        <v>294.10000000000002</v>
      </c>
      <c r="H34" s="26">
        <v>101.3</v>
      </c>
      <c r="I34" s="26">
        <f t="shared" si="5"/>
        <v>101300</v>
      </c>
      <c r="J34" s="26">
        <f t="shared" si="6"/>
        <v>2.0124824921938581E-5</v>
      </c>
      <c r="K34" s="28">
        <v>388.80693069306932</v>
      </c>
      <c r="L34" s="27">
        <f t="shared" si="7"/>
        <v>3.8880693069306933E-4</v>
      </c>
      <c r="M34" s="29">
        <f t="shared" si="8"/>
        <v>4.7762865441819992E-3</v>
      </c>
      <c r="N34" s="27">
        <f t="shared" si="9"/>
        <v>1.6382332459022104E-6</v>
      </c>
      <c r="O34" s="21">
        <f t="shared" si="10"/>
        <v>2.032E-3</v>
      </c>
      <c r="P34" s="21">
        <v>1.45111777225214E-10</v>
      </c>
      <c r="Q34" s="2">
        <v>0.32</v>
      </c>
      <c r="R34" s="27">
        <f t="shared" si="11"/>
        <v>132000</v>
      </c>
      <c r="S34" s="2">
        <v>5.3058450282772E-3</v>
      </c>
      <c r="T34" s="11">
        <v>0.11</v>
      </c>
      <c r="U34" s="30">
        <f t="shared" si="12"/>
        <v>111000.00000000001</v>
      </c>
      <c r="V34" s="30">
        <f t="shared" si="1"/>
        <v>43.157569306930704</v>
      </c>
      <c r="W34" s="11">
        <f t="shared" si="13"/>
        <v>870.81765975374378</v>
      </c>
      <c r="X34" s="27">
        <f t="shared" si="14"/>
        <v>6.6287393605296996E-14</v>
      </c>
      <c r="Y34" s="27">
        <f t="shared" si="15"/>
        <v>39918268429.109856</v>
      </c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</row>
    <row r="35" spans="1:76" s="4" customFormat="1" x14ac:dyDescent="0.3">
      <c r="A35" s="26">
        <v>99</v>
      </c>
      <c r="B35" s="26">
        <f t="shared" si="2"/>
        <v>1.65</v>
      </c>
      <c r="C35" s="26">
        <v>20</v>
      </c>
      <c r="D35" s="26">
        <f t="shared" si="0"/>
        <v>29.146000000000001</v>
      </c>
      <c r="E35" s="26">
        <f t="shared" si="3"/>
        <v>4.8576666666666667E-7</v>
      </c>
      <c r="F35" s="26">
        <v>21.1</v>
      </c>
      <c r="G35" s="26">
        <f t="shared" si="4"/>
        <v>294.10000000000002</v>
      </c>
      <c r="H35" s="26">
        <v>101.3</v>
      </c>
      <c r="I35" s="26">
        <f t="shared" si="5"/>
        <v>101300</v>
      </c>
      <c r="J35" s="26">
        <f t="shared" si="6"/>
        <v>2.0124824921938581E-5</v>
      </c>
      <c r="K35" s="28">
        <v>378.21287128712873</v>
      </c>
      <c r="L35" s="27">
        <f t="shared" si="7"/>
        <v>3.7821287128712871E-4</v>
      </c>
      <c r="M35" s="29">
        <f t="shared" si="8"/>
        <v>4.7762865441819992E-3</v>
      </c>
      <c r="N35" s="27">
        <f t="shared" si="9"/>
        <v>1.593595306200524E-6</v>
      </c>
      <c r="O35" s="21">
        <f t="shared" si="10"/>
        <v>2.032E-3</v>
      </c>
      <c r="P35" s="21">
        <v>1.45111777225214E-10</v>
      </c>
      <c r="Q35" s="2">
        <v>0.32</v>
      </c>
      <c r="R35" s="27">
        <f t="shared" si="11"/>
        <v>132000</v>
      </c>
      <c r="S35" s="2">
        <v>5.3058450282772E-3</v>
      </c>
      <c r="T35" s="11">
        <v>0.11</v>
      </c>
      <c r="U35" s="30">
        <f t="shared" si="12"/>
        <v>111000.00000000001</v>
      </c>
      <c r="V35" s="30">
        <f t="shared" si="1"/>
        <v>41.981628712871291</v>
      </c>
      <c r="W35" s="11">
        <f t="shared" si="13"/>
        <v>829.11953667594867</v>
      </c>
      <c r="X35" s="27">
        <f t="shared" si="14"/>
        <v>6.4460722552320527E-14</v>
      </c>
      <c r="Y35" s="27">
        <f t="shared" si="15"/>
        <v>38818247121.007423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</row>
    <row r="36" spans="1:76" s="4" customFormat="1" x14ac:dyDescent="0.3">
      <c r="A36" s="26">
        <v>102</v>
      </c>
      <c r="B36" s="26">
        <f t="shared" si="2"/>
        <v>1.7</v>
      </c>
      <c r="C36" s="26">
        <v>20</v>
      </c>
      <c r="D36" s="26">
        <f t="shared" si="0"/>
        <v>29.146000000000001</v>
      </c>
      <c r="E36" s="26">
        <f t="shared" si="3"/>
        <v>4.8576666666666667E-7</v>
      </c>
      <c r="F36" s="26">
        <v>21.1</v>
      </c>
      <c r="G36" s="26">
        <f t="shared" si="4"/>
        <v>294.10000000000002</v>
      </c>
      <c r="H36" s="26">
        <v>101.3</v>
      </c>
      <c r="I36" s="26">
        <f t="shared" si="5"/>
        <v>101300</v>
      </c>
      <c r="J36" s="26">
        <f t="shared" si="6"/>
        <v>2.0124824921938581E-5</v>
      </c>
      <c r="K36" s="28">
        <v>386.23267326732673</v>
      </c>
      <c r="L36" s="27">
        <f t="shared" si="7"/>
        <v>3.8623267326732673E-4</v>
      </c>
      <c r="M36" s="29">
        <f t="shared" si="8"/>
        <v>4.7762865441819992E-3</v>
      </c>
      <c r="N36" s="27">
        <f t="shared" si="9"/>
        <v>1.6273866437317073E-6</v>
      </c>
      <c r="O36" s="21">
        <f t="shared" si="10"/>
        <v>2.032E-3</v>
      </c>
      <c r="P36" s="21">
        <v>1.45111777225214E-10</v>
      </c>
      <c r="Q36" s="2">
        <v>0.32</v>
      </c>
      <c r="R36" s="27">
        <f t="shared" si="11"/>
        <v>132000</v>
      </c>
      <c r="S36" s="2">
        <v>5.3058450282772E-3</v>
      </c>
      <c r="T36" s="11">
        <v>0.11</v>
      </c>
      <c r="U36" s="30">
        <f t="shared" si="12"/>
        <v>111000.00000000001</v>
      </c>
      <c r="V36" s="30">
        <f t="shared" si="1"/>
        <v>42.87182673267327</v>
      </c>
      <c r="W36" s="11">
        <f t="shared" si="13"/>
        <v>860.59801256191508</v>
      </c>
      <c r="X36" s="27">
        <f t="shared" si="14"/>
        <v>6.584337889199553E-14</v>
      </c>
      <c r="Y36" s="27">
        <f t="shared" si="15"/>
        <v>39650882768.759712</v>
      </c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</row>
    <row r="37" spans="1:76" s="4" customFormat="1" x14ac:dyDescent="0.3">
      <c r="A37" s="26">
        <v>105</v>
      </c>
      <c r="B37" s="26">
        <f t="shared" si="2"/>
        <v>1.75</v>
      </c>
      <c r="C37" s="26">
        <v>20</v>
      </c>
      <c r="D37" s="26">
        <f t="shared" si="0"/>
        <v>29.146000000000001</v>
      </c>
      <c r="E37" s="26">
        <f t="shared" si="3"/>
        <v>4.8576666666666667E-7</v>
      </c>
      <c r="F37" s="26">
        <v>21.1</v>
      </c>
      <c r="G37" s="26">
        <f t="shared" si="4"/>
        <v>294.10000000000002</v>
      </c>
      <c r="H37" s="26">
        <v>101.3</v>
      </c>
      <c r="I37" s="26">
        <f t="shared" si="5"/>
        <v>101300</v>
      </c>
      <c r="J37" s="26">
        <f t="shared" si="6"/>
        <v>2.0124824921938581E-5</v>
      </c>
      <c r="K37" s="28">
        <v>386.95049504950498</v>
      </c>
      <c r="L37" s="27">
        <f t="shared" si="7"/>
        <v>3.8695049504950497E-4</v>
      </c>
      <c r="M37" s="29">
        <f t="shared" si="8"/>
        <v>4.7762865441819992E-3</v>
      </c>
      <c r="N37" s="27">
        <f t="shared" si="9"/>
        <v>1.6304111770292517E-6</v>
      </c>
      <c r="O37" s="21">
        <f t="shared" si="10"/>
        <v>2.032E-3</v>
      </c>
      <c r="P37" s="21">
        <v>1.45111777225214E-10</v>
      </c>
      <c r="Q37" s="2">
        <v>0.32</v>
      </c>
      <c r="R37" s="27">
        <f t="shared" si="11"/>
        <v>132000</v>
      </c>
      <c r="S37" s="2">
        <v>5.3058450282772E-3</v>
      </c>
      <c r="T37" s="11">
        <v>0.11</v>
      </c>
      <c r="U37" s="30">
        <f t="shared" si="12"/>
        <v>111000.00000000001</v>
      </c>
      <c r="V37" s="30">
        <f t="shared" si="1"/>
        <v>42.951504950495057</v>
      </c>
      <c r="W37" s="11">
        <f t="shared" si="13"/>
        <v>863.4420846436999</v>
      </c>
      <c r="X37" s="27">
        <f t="shared" si="14"/>
        <v>6.5967180893004225E-14</v>
      </c>
      <c r="Y37" s="27">
        <f t="shared" si="15"/>
        <v>39725436333.767143</v>
      </c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</row>
    <row r="38" spans="1:76" s="4" customFormat="1" x14ac:dyDescent="0.3">
      <c r="A38" s="26">
        <v>108</v>
      </c>
      <c r="B38" s="26">
        <f t="shared" si="2"/>
        <v>1.8</v>
      </c>
      <c r="C38" s="26">
        <v>20</v>
      </c>
      <c r="D38" s="26">
        <f t="shared" si="0"/>
        <v>29.146000000000001</v>
      </c>
      <c r="E38" s="26">
        <f t="shared" si="3"/>
        <v>4.8576666666666667E-7</v>
      </c>
      <c r="F38" s="26">
        <v>21.1</v>
      </c>
      <c r="G38" s="26">
        <f t="shared" si="4"/>
        <v>294.10000000000002</v>
      </c>
      <c r="H38" s="26">
        <v>101.3</v>
      </c>
      <c r="I38" s="26">
        <f t="shared" si="5"/>
        <v>101300</v>
      </c>
      <c r="J38" s="26">
        <f t="shared" si="6"/>
        <v>2.0124824921938581E-5</v>
      </c>
      <c r="K38" s="28">
        <v>400.58910891089113</v>
      </c>
      <c r="L38" s="27">
        <f t="shared" si="7"/>
        <v>4.0058910891089113E-4</v>
      </c>
      <c r="M38" s="29">
        <f t="shared" si="8"/>
        <v>4.7762865441819992E-3</v>
      </c>
      <c r="N38" s="27">
        <f t="shared" si="9"/>
        <v>1.6878773096825905E-6</v>
      </c>
      <c r="O38" s="21">
        <f t="shared" si="10"/>
        <v>2.032E-3</v>
      </c>
      <c r="P38" s="21">
        <v>1.45111777225214E-10</v>
      </c>
      <c r="Q38" s="2">
        <v>0.32</v>
      </c>
      <c r="R38" s="27">
        <f t="shared" si="11"/>
        <v>132000</v>
      </c>
      <c r="S38" s="2">
        <v>5.3058450282772E-3</v>
      </c>
      <c r="T38" s="11">
        <v>0.11</v>
      </c>
      <c r="U38" s="30">
        <f t="shared" si="12"/>
        <v>111000.00000000001</v>
      </c>
      <c r="V38" s="30">
        <f t="shared" si="1"/>
        <v>44.46539108910892</v>
      </c>
      <c r="W38" s="11">
        <f t="shared" si="13"/>
        <v>918.30701714389818</v>
      </c>
      <c r="X38" s="27">
        <f t="shared" si="14"/>
        <v>6.8320870963213416E-14</v>
      </c>
      <c r="Y38" s="27">
        <f t="shared" si="15"/>
        <v>41142828494.047119</v>
      </c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</row>
    <row r="39" spans="1:76" s="4" customFormat="1" x14ac:dyDescent="0.3">
      <c r="A39" s="26">
        <v>111</v>
      </c>
      <c r="B39" s="26">
        <f t="shared" si="2"/>
        <v>1.85</v>
      </c>
      <c r="C39" s="26">
        <v>20</v>
      </c>
      <c r="D39" s="26">
        <f t="shared" si="0"/>
        <v>29.146000000000001</v>
      </c>
      <c r="E39" s="26">
        <f t="shared" si="3"/>
        <v>4.8576666666666667E-7</v>
      </c>
      <c r="F39" s="26">
        <v>21.1</v>
      </c>
      <c r="G39" s="26">
        <f t="shared" si="4"/>
        <v>294.10000000000002</v>
      </c>
      <c r="H39" s="26">
        <v>101.3</v>
      </c>
      <c r="I39" s="26">
        <f t="shared" si="5"/>
        <v>101300</v>
      </c>
      <c r="J39" s="26">
        <f t="shared" si="6"/>
        <v>2.0124824921938581E-5</v>
      </c>
      <c r="K39" s="28">
        <v>398.4356435643565</v>
      </c>
      <c r="L39" s="27">
        <f t="shared" si="7"/>
        <v>3.9843564356435647E-4</v>
      </c>
      <c r="M39" s="29">
        <f t="shared" si="8"/>
        <v>4.7762865441819992E-3</v>
      </c>
      <c r="N39" s="27">
        <f t="shared" si="9"/>
        <v>1.6788037097899579E-6</v>
      </c>
      <c r="O39" s="21">
        <f t="shared" si="10"/>
        <v>2.032E-3</v>
      </c>
      <c r="P39" s="21">
        <v>1.45111777225214E-10</v>
      </c>
      <c r="Q39" s="2">
        <v>0.32</v>
      </c>
      <c r="R39" s="27">
        <f t="shared" si="11"/>
        <v>132000</v>
      </c>
      <c r="S39" s="2">
        <v>5.3058450282772E-3</v>
      </c>
      <c r="T39" s="11">
        <v>0.11</v>
      </c>
      <c r="U39" s="30">
        <f t="shared" si="12"/>
        <v>111000.00000000001</v>
      </c>
      <c r="V39" s="30">
        <f t="shared" si="1"/>
        <v>44.226356435643574</v>
      </c>
      <c r="W39" s="11">
        <f t="shared" si="13"/>
        <v>909.53969397765229</v>
      </c>
      <c r="X39" s="27">
        <f t="shared" si="14"/>
        <v>6.7949050573538605E-14</v>
      </c>
      <c r="Y39" s="27">
        <f t="shared" si="15"/>
        <v>40918918255.384949</v>
      </c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</row>
    <row r="40" spans="1:76" s="4" customFormat="1" x14ac:dyDescent="0.3">
      <c r="A40" s="26">
        <v>114</v>
      </c>
      <c r="B40" s="26">
        <f t="shared" si="2"/>
        <v>1.9</v>
      </c>
      <c r="C40" s="26">
        <v>20</v>
      </c>
      <c r="D40" s="26">
        <f t="shared" si="0"/>
        <v>29.146000000000001</v>
      </c>
      <c r="E40" s="26">
        <f t="shared" si="3"/>
        <v>4.8576666666666667E-7</v>
      </c>
      <c r="F40" s="26">
        <v>21.1</v>
      </c>
      <c r="G40" s="26">
        <f t="shared" si="4"/>
        <v>294.10000000000002</v>
      </c>
      <c r="H40" s="26">
        <v>101.3</v>
      </c>
      <c r="I40" s="26">
        <f t="shared" si="5"/>
        <v>101300</v>
      </c>
      <c r="J40" s="26">
        <f t="shared" si="6"/>
        <v>2.0124824921938581E-5</v>
      </c>
      <c r="K40" s="28">
        <v>383.21287128712873</v>
      </c>
      <c r="L40" s="27">
        <f t="shared" si="7"/>
        <v>3.8321287128712872E-4</v>
      </c>
      <c r="M40" s="29">
        <f t="shared" si="8"/>
        <v>4.7762865441819992E-3</v>
      </c>
      <c r="N40" s="27">
        <f t="shared" si="9"/>
        <v>1.6146627450316939E-6</v>
      </c>
      <c r="O40" s="21">
        <f t="shared" si="10"/>
        <v>2.032E-3</v>
      </c>
      <c r="P40" s="21">
        <v>1.45111777225214E-10</v>
      </c>
      <c r="Q40" s="2">
        <v>0.32</v>
      </c>
      <c r="R40" s="27">
        <f t="shared" si="11"/>
        <v>132000</v>
      </c>
      <c r="S40" s="2">
        <v>5.3058450282772E-3</v>
      </c>
      <c r="T40" s="11">
        <v>0.11</v>
      </c>
      <c r="U40" s="30">
        <f t="shared" si="12"/>
        <v>111000.00000000001</v>
      </c>
      <c r="V40" s="30">
        <f t="shared" si="1"/>
        <v>42.536628712871291</v>
      </c>
      <c r="W40" s="11">
        <f t="shared" si="13"/>
        <v>848.68106266345046</v>
      </c>
      <c r="X40" s="27">
        <f t="shared" si="14"/>
        <v>6.5322639280236063E-14</v>
      </c>
      <c r="Y40" s="27">
        <f t="shared" si="15"/>
        <v>39337293374.558159</v>
      </c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</row>
    <row r="41" spans="1:76" s="4" customFormat="1" x14ac:dyDescent="0.3">
      <c r="A41" s="26">
        <v>117</v>
      </c>
      <c r="B41" s="26">
        <f t="shared" si="2"/>
        <v>1.95</v>
      </c>
      <c r="C41" s="26">
        <v>20</v>
      </c>
      <c r="D41" s="26">
        <f t="shared" si="0"/>
        <v>29.146000000000001</v>
      </c>
      <c r="E41" s="26">
        <f t="shared" si="3"/>
        <v>4.8576666666666667E-7</v>
      </c>
      <c r="F41" s="26">
        <v>21.1</v>
      </c>
      <c r="G41" s="26">
        <f t="shared" si="4"/>
        <v>294.10000000000002</v>
      </c>
      <c r="H41" s="26">
        <v>101.3</v>
      </c>
      <c r="I41" s="26">
        <f t="shared" si="5"/>
        <v>101300</v>
      </c>
      <c r="J41" s="26">
        <f t="shared" si="6"/>
        <v>2.0124824921938581E-5</v>
      </c>
      <c r="K41" s="28">
        <v>384.57425742574264</v>
      </c>
      <c r="L41" s="27">
        <f t="shared" si="7"/>
        <v>3.8457425742574266E-4</v>
      </c>
      <c r="M41" s="29">
        <f t="shared" si="8"/>
        <v>4.7762865441819992E-3</v>
      </c>
      <c r="N41" s="27">
        <f t="shared" si="9"/>
        <v>1.6203989288718645E-6</v>
      </c>
      <c r="O41" s="21">
        <f t="shared" si="10"/>
        <v>2.032E-3</v>
      </c>
      <c r="P41" s="21">
        <v>1.45111777225214E-10</v>
      </c>
      <c r="Q41" s="2">
        <v>0.32</v>
      </c>
      <c r="R41" s="27">
        <f t="shared" si="11"/>
        <v>132000</v>
      </c>
      <c r="S41" s="2">
        <v>5.3058450282772E-3</v>
      </c>
      <c r="T41" s="11">
        <v>0.11</v>
      </c>
      <c r="U41" s="30">
        <f t="shared" si="12"/>
        <v>111000.00000000001</v>
      </c>
      <c r="V41" s="30">
        <f t="shared" si="1"/>
        <v>42.687742574257442</v>
      </c>
      <c r="W41" s="11">
        <f t="shared" si="13"/>
        <v>854.04390138325527</v>
      </c>
      <c r="X41" s="27">
        <f t="shared" si="14"/>
        <v>6.5557382448875718E-14</v>
      </c>
      <c r="Y41" s="27">
        <f t="shared" si="15"/>
        <v>39478655710.712959</v>
      </c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</row>
    <row r="42" spans="1:76" s="4" customFormat="1" x14ac:dyDescent="0.3">
      <c r="A42" s="26">
        <v>120</v>
      </c>
      <c r="B42" s="26">
        <f t="shared" si="2"/>
        <v>2</v>
      </c>
      <c r="C42" s="26">
        <v>20</v>
      </c>
      <c r="D42" s="26">
        <f t="shared" si="0"/>
        <v>29.146000000000001</v>
      </c>
      <c r="E42" s="26">
        <f t="shared" si="3"/>
        <v>4.8576666666666667E-7</v>
      </c>
      <c r="F42" s="26">
        <v>21.1</v>
      </c>
      <c r="G42" s="26">
        <f t="shared" si="4"/>
        <v>294.10000000000002</v>
      </c>
      <c r="H42" s="26">
        <v>101.3</v>
      </c>
      <c r="I42" s="26">
        <f t="shared" si="5"/>
        <v>101300</v>
      </c>
      <c r="J42" s="26">
        <f t="shared" si="6"/>
        <v>2.0124824921938581E-5</v>
      </c>
      <c r="K42" s="28">
        <v>386.38118811881191</v>
      </c>
      <c r="L42" s="27">
        <f t="shared" si="7"/>
        <v>3.8638118811881191E-4</v>
      </c>
      <c r="M42" s="29">
        <f t="shared" si="8"/>
        <v>4.7762865441819992E-3</v>
      </c>
      <c r="N42" s="27">
        <f t="shared" si="9"/>
        <v>1.6280124092415443E-6</v>
      </c>
      <c r="O42" s="21">
        <f t="shared" si="10"/>
        <v>2.032E-3</v>
      </c>
      <c r="P42" s="21">
        <v>1.45111777225214E-10</v>
      </c>
      <c r="Q42" s="2">
        <v>0.32</v>
      </c>
      <c r="R42" s="27">
        <f t="shared" si="11"/>
        <v>132000</v>
      </c>
      <c r="S42" s="2">
        <v>5.3058450282772E-3</v>
      </c>
      <c r="T42" s="11">
        <v>0.11</v>
      </c>
      <c r="U42" s="30">
        <f t="shared" si="12"/>
        <v>111000.00000000001</v>
      </c>
      <c r="V42" s="30">
        <f t="shared" si="1"/>
        <v>42.88831188118813</v>
      </c>
      <c r="W42" s="11">
        <f t="shared" si="13"/>
        <v>861.1860835297116</v>
      </c>
      <c r="X42" s="27">
        <f t="shared" si="14"/>
        <v>6.5868992478838878E-14</v>
      </c>
      <c r="Y42" s="27">
        <f t="shared" si="15"/>
        <v>39666307270.756775</v>
      </c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</row>
    <row r="43" spans="1:76" s="4" customFormat="1" x14ac:dyDescent="0.3">
      <c r="A43" s="26">
        <v>123</v>
      </c>
      <c r="B43" s="26">
        <f t="shared" si="2"/>
        <v>2.0499999999999998</v>
      </c>
      <c r="C43" s="26">
        <v>20</v>
      </c>
      <c r="D43" s="26">
        <f t="shared" si="0"/>
        <v>29.146000000000001</v>
      </c>
      <c r="E43" s="26">
        <f t="shared" si="3"/>
        <v>4.8576666666666667E-7</v>
      </c>
      <c r="F43" s="26">
        <v>21.1</v>
      </c>
      <c r="G43" s="26">
        <f t="shared" si="4"/>
        <v>294.10000000000002</v>
      </c>
      <c r="H43" s="26">
        <v>101.3</v>
      </c>
      <c r="I43" s="26">
        <f t="shared" si="5"/>
        <v>101300</v>
      </c>
      <c r="J43" s="26">
        <f t="shared" si="6"/>
        <v>2.0124824921938581E-5</v>
      </c>
      <c r="K43" s="28">
        <v>390.31683168316835</v>
      </c>
      <c r="L43" s="27">
        <f t="shared" si="7"/>
        <v>3.9031683168316833E-4</v>
      </c>
      <c r="M43" s="29">
        <f t="shared" si="8"/>
        <v>4.7762865441819992E-3</v>
      </c>
      <c r="N43" s="27">
        <f t="shared" si="9"/>
        <v>1.6445951952522171E-6</v>
      </c>
      <c r="O43" s="21">
        <f t="shared" si="10"/>
        <v>2.032E-3</v>
      </c>
      <c r="P43" s="21">
        <v>1.45111777225214E-10</v>
      </c>
      <c r="Q43" s="2">
        <v>0.32</v>
      </c>
      <c r="R43" s="27">
        <f t="shared" si="11"/>
        <v>132000</v>
      </c>
      <c r="S43" s="2">
        <v>5.3058450282772E-3</v>
      </c>
      <c r="T43" s="11">
        <v>0.11</v>
      </c>
      <c r="U43" s="30">
        <f t="shared" si="12"/>
        <v>111000.00000000001</v>
      </c>
      <c r="V43" s="30">
        <f t="shared" si="1"/>
        <v>43.325168316831693</v>
      </c>
      <c r="W43" s="11">
        <f t="shared" si="13"/>
        <v>876.83795599681162</v>
      </c>
      <c r="X43" s="27">
        <f t="shared" si="14"/>
        <v>6.6547870751692439E-14</v>
      </c>
      <c r="Y43" s="27">
        <f t="shared" si="15"/>
        <v>40075127766.669189</v>
      </c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</row>
    <row r="44" spans="1:76" s="4" customFormat="1" x14ac:dyDescent="0.3">
      <c r="A44" s="26">
        <v>126</v>
      </c>
      <c r="B44" s="26">
        <f t="shared" si="2"/>
        <v>2.1</v>
      </c>
      <c r="C44" s="26">
        <v>20</v>
      </c>
      <c r="D44" s="26">
        <f t="shared" si="0"/>
        <v>29.146000000000001</v>
      </c>
      <c r="E44" s="26">
        <f t="shared" si="3"/>
        <v>4.8576666666666667E-7</v>
      </c>
      <c r="F44" s="26">
        <v>21.1</v>
      </c>
      <c r="G44" s="26">
        <f t="shared" si="4"/>
        <v>294.10000000000002</v>
      </c>
      <c r="H44" s="26">
        <v>101.3</v>
      </c>
      <c r="I44" s="26">
        <f t="shared" si="5"/>
        <v>101300</v>
      </c>
      <c r="J44" s="26">
        <f t="shared" si="6"/>
        <v>2.0124824921938581E-5</v>
      </c>
      <c r="K44" s="28">
        <v>379.12871287128718</v>
      </c>
      <c r="L44" s="27">
        <f t="shared" si="7"/>
        <v>3.7912871287128718E-4</v>
      </c>
      <c r="M44" s="29">
        <f t="shared" si="8"/>
        <v>4.7762865441819992E-3</v>
      </c>
      <c r="N44" s="27">
        <f t="shared" si="9"/>
        <v>1.5974541935111843E-6</v>
      </c>
      <c r="O44" s="21">
        <f t="shared" si="10"/>
        <v>2.032E-3</v>
      </c>
      <c r="P44" s="21">
        <v>1.45111777225214E-10</v>
      </c>
      <c r="Q44" s="2">
        <v>0.32</v>
      </c>
      <c r="R44" s="27">
        <f t="shared" si="11"/>
        <v>132000</v>
      </c>
      <c r="S44" s="2">
        <v>5.3058450282772E-3</v>
      </c>
      <c r="T44" s="11">
        <v>0.11</v>
      </c>
      <c r="U44" s="30">
        <f t="shared" si="12"/>
        <v>111000.00000000001</v>
      </c>
      <c r="V44" s="30">
        <f t="shared" si="1"/>
        <v>42.083287128712882</v>
      </c>
      <c r="W44" s="11">
        <f t="shared" si="13"/>
        <v>832.68673912609245</v>
      </c>
      <c r="X44" s="27">
        <f t="shared" si="14"/>
        <v>6.4618571348523271E-14</v>
      </c>
      <c r="Y44" s="27">
        <f t="shared" si="15"/>
        <v>38913303666.080719</v>
      </c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</row>
    <row r="45" spans="1:76" s="4" customFormat="1" x14ac:dyDescent="0.3">
      <c r="A45" s="26">
        <v>129</v>
      </c>
      <c r="B45" s="26">
        <f t="shared" si="2"/>
        <v>2.15</v>
      </c>
      <c r="C45" s="26">
        <v>20</v>
      </c>
      <c r="D45" s="26">
        <f t="shared" si="0"/>
        <v>29.146000000000001</v>
      </c>
      <c r="E45" s="26">
        <f t="shared" si="3"/>
        <v>4.8576666666666667E-7</v>
      </c>
      <c r="F45" s="26">
        <v>21.1</v>
      </c>
      <c r="G45" s="26">
        <f t="shared" si="4"/>
        <v>294.10000000000002</v>
      </c>
      <c r="H45" s="26">
        <v>101.3</v>
      </c>
      <c r="I45" s="26">
        <f t="shared" si="5"/>
        <v>101300</v>
      </c>
      <c r="J45" s="26">
        <f t="shared" si="6"/>
        <v>2.0124824921938581E-5</v>
      </c>
      <c r="K45" s="28">
        <v>385.06930693069313</v>
      </c>
      <c r="L45" s="27">
        <f t="shared" si="7"/>
        <v>3.8506930693069314E-4</v>
      </c>
      <c r="M45" s="29">
        <f t="shared" si="8"/>
        <v>4.7762865441819992E-3</v>
      </c>
      <c r="N45" s="27">
        <f t="shared" si="9"/>
        <v>1.6224848139046534E-6</v>
      </c>
      <c r="O45" s="21">
        <f t="shared" si="10"/>
        <v>2.032E-3</v>
      </c>
      <c r="P45" s="21">
        <v>1.45111777225214E-10</v>
      </c>
      <c r="Q45" s="2">
        <v>0.32</v>
      </c>
      <c r="R45" s="27">
        <f t="shared" si="11"/>
        <v>132000</v>
      </c>
      <c r="S45" s="2">
        <v>5.3058450282772E-3</v>
      </c>
      <c r="T45" s="11">
        <v>0.11</v>
      </c>
      <c r="U45" s="30">
        <f t="shared" si="12"/>
        <v>111000.00000000001</v>
      </c>
      <c r="V45" s="30">
        <f t="shared" si="1"/>
        <v>42.742693069306945</v>
      </c>
      <c r="W45" s="11">
        <f t="shared" si="13"/>
        <v>855.99791502139294</v>
      </c>
      <c r="X45" s="27">
        <f t="shared" si="14"/>
        <v>6.564275030842078E-14</v>
      </c>
      <c r="Y45" s="27">
        <f t="shared" si="15"/>
        <v>39530064235.730995</v>
      </c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</row>
    <row r="46" spans="1:76" s="4" customFormat="1" x14ac:dyDescent="0.3">
      <c r="A46" s="26">
        <v>132</v>
      </c>
      <c r="B46" s="26">
        <f t="shared" si="2"/>
        <v>2.2000000000000002</v>
      </c>
      <c r="C46" s="26">
        <v>20</v>
      </c>
      <c r="D46" s="26">
        <f t="shared" si="0"/>
        <v>29.146000000000001</v>
      </c>
      <c r="E46" s="26">
        <f t="shared" si="3"/>
        <v>4.8576666666666667E-7</v>
      </c>
      <c r="F46" s="26">
        <v>21.1</v>
      </c>
      <c r="G46" s="26">
        <f t="shared" si="4"/>
        <v>294.10000000000002</v>
      </c>
      <c r="H46" s="26">
        <v>101.3</v>
      </c>
      <c r="I46" s="26">
        <f t="shared" si="5"/>
        <v>101300</v>
      </c>
      <c r="J46" s="26">
        <f t="shared" si="6"/>
        <v>2.0124824921938581E-5</v>
      </c>
      <c r="K46" s="28">
        <v>382.17326732673268</v>
      </c>
      <c r="L46" s="27">
        <f t="shared" si="7"/>
        <v>3.8217326732673266E-4</v>
      </c>
      <c r="M46" s="29">
        <f t="shared" si="8"/>
        <v>4.7762865441819992E-3</v>
      </c>
      <c r="N46" s="27">
        <f t="shared" si="9"/>
        <v>1.6102823864628369E-6</v>
      </c>
      <c r="O46" s="21">
        <f t="shared" si="10"/>
        <v>2.032E-3</v>
      </c>
      <c r="P46" s="21">
        <v>1.45111777225214E-10</v>
      </c>
      <c r="Q46" s="2">
        <v>0.32</v>
      </c>
      <c r="R46" s="27">
        <f t="shared" si="11"/>
        <v>132000</v>
      </c>
      <c r="S46" s="2">
        <v>5.3058450282772E-3</v>
      </c>
      <c r="T46" s="11">
        <v>0.11</v>
      </c>
      <c r="U46" s="30">
        <f t="shared" si="12"/>
        <v>111000.00000000001</v>
      </c>
      <c r="V46" s="30">
        <f t="shared" si="1"/>
        <v>42.421232673267333</v>
      </c>
      <c r="W46" s="11">
        <f t="shared" si="13"/>
        <v>844.5963728766028</v>
      </c>
      <c r="X46" s="27">
        <f t="shared" si="14"/>
        <v>6.5143399036967146E-14</v>
      </c>
      <c r="Y46" s="27">
        <f t="shared" si="15"/>
        <v>39229354900.061615</v>
      </c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</row>
    <row r="47" spans="1:76" s="4" customFormat="1" x14ac:dyDescent="0.3">
      <c r="A47" s="26">
        <v>135</v>
      </c>
      <c r="B47" s="26">
        <f t="shared" si="2"/>
        <v>2.25</v>
      </c>
      <c r="C47" s="26">
        <v>20</v>
      </c>
      <c r="D47" s="26">
        <f t="shared" si="0"/>
        <v>29.146000000000001</v>
      </c>
      <c r="E47" s="26">
        <f t="shared" si="3"/>
        <v>4.8576666666666667E-7</v>
      </c>
      <c r="F47" s="26">
        <v>21.1</v>
      </c>
      <c r="G47" s="26">
        <f t="shared" si="4"/>
        <v>294.10000000000002</v>
      </c>
      <c r="H47" s="26">
        <v>101.3</v>
      </c>
      <c r="I47" s="26">
        <f t="shared" si="5"/>
        <v>101300</v>
      </c>
      <c r="J47" s="26">
        <f t="shared" si="6"/>
        <v>2.0124824921938581E-5</v>
      </c>
      <c r="K47" s="28">
        <v>384.84653465346537</v>
      </c>
      <c r="L47" s="27">
        <f t="shared" si="7"/>
        <v>3.8484653465346538E-4</v>
      </c>
      <c r="M47" s="29">
        <f t="shared" si="8"/>
        <v>4.7762865441819992E-3</v>
      </c>
      <c r="N47" s="27">
        <f t="shared" si="9"/>
        <v>1.6215461656398979E-6</v>
      </c>
      <c r="O47" s="21">
        <f t="shared" si="10"/>
        <v>2.032E-3</v>
      </c>
      <c r="P47" s="21">
        <v>1.45111777225214E-10</v>
      </c>
      <c r="Q47" s="2">
        <v>0.32</v>
      </c>
      <c r="R47" s="27">
        <f t="shared" si="11"/>
        <v>132000</v>
      </c>
      <c r="S47" s="2">
        <v>5.3058450282772E-3</v>
      </c>
      <c r="T47" s="11">
        <v>0.11</v>
      </c>
      <c r="U47" s="30">
        <f t="shared" si="12"/>
        <v>111000.00000000001</v>
      </c>
      <c r="V47" s="30">
        <f t="shared" si="1"/>
        <v>42.717965346534662</v>
      </c>
      <c r="W47" s="11">
        <f t="shared" si="13"/>
        <v>855.1183521456926</v>
      </c>
      <c r="X47" s="27">
        <f t="shared" si="14"/>
        <v>6.5604334328385713E-14</v>
      </c>
      <c r="Y47" s="27">
        <f t="shared" si="15"/>
        <v>39506930132.553879</v>
      </c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</row>
    <row r="48" spans="1:76" s="4" customFormat="1" x14ac:dyDescent="0.3">
      <c r="A48" s="26">
        <v>138</v>
      </c>
      <c r="B48" s="26">
        <f t="shared" si="2"/>
        <v>2.2999999999999998</v>
      </c>
      <c r="C48" s="26">
        <v>20</v>
      </c>
      <c r="D48" s="26">
        <f t="shared" si="0"/>
        <v>29.146000000000001</v>
      </c>
      <c r="E48" s="26">
        <f t="shared" si="3"/>
        <v>4.8576666666666667E-7</v>
      </c>
      <c r="F48" s="26">
        <v>21.1</v>
      </c>
      <c r="G48" s="26">
        <f t="shared" si="4"/>
        <v>294.10000000000002</v>
      </c>
      <c r="H48" s="26">
        <v>101.3</v>
      </c>
      <c r="I48" s="26">
        <f t="shared" si="5"/>
        <v>101300</v>
      </c>
      <c r="J48" s="26">
        <f t="shared" si="6"/>
        <v>2.0124824921938581E-5</v>
      </c>
      <c r="K48" s="28">
        <v>380.01980198019805</v>
      </c>
      <c r="L48" s="27">
        <f t="shared" si="7"/>
        <v>3.8001980198019807E-4</v>
      </c>
      <c r="M48" s="29">
        <f t="shared" si="8"/>
        <v>4.7762865441819992E-3</v>
      </c>
      <c r="N48" s="27">
        <f t="shared" si="9"/>
        <v>1.6012087865702047E-6</v>
      </c>
      <c r="O48" s="21">
        <f t="shared" si="10"/>
        <v>2.032E-3</v>
      </c>
      <c r="P48" s="21">
        <v>1.45111777225214E-10</v>
      </c>
      <c r="Q48" s="2">
        <v>0.32</v>
      </c>
      <c r="R48" s="27">
        <f t="shared" si="11"/>
        <v>132000</v>
      </c>
      <c r="S48" s="2">
        <v>5.3058450282772E-3</v>
      </c>
      <c r="T48" s="11">
        <v>0.11</v>
      </c>
      <c r="U48" s="30">
        <f t="shared" si="12"/>
        <v>111000.00000000001</v>
      </c>
      <c r="V48" s="30">
        <f t="shared" si="1"/>
        <v>42.182198019801994</v>
      </c>
      <c r="W48" s="11">
        <f t="shared" si="13"/>
        <v>836.16435501867113</v>
      </c>
      <c r="X48" s="27">
        <f t="shared" si="14"/>
        <v>6.4772165572014963E-14</v>
      </c>
      <c r="Y48" s="27">
        <f t="shared" si="15"/>
        <v>39005798107.467415</v>
      </c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</row>
    <row r="49" spans="1:76" s="4" customFormat="1" x14ac:dyDescent="0.3">
      <c r="A49" s="26">
        <v>141</v>
      </c>
      <c r="B49" s="26">
        <f t="shared" si="2"/>
        <v>2.35</v>
      </c>
      <c r="C49" s="26">
        <v>20</v>
      </c>
      <c r="D49" s="26">
        <f t="shared" si="0"/>
        <v>29.146000000000001</v>
      </c>
      <c r="E49" s="26">
        <f t="shared" si="3"/>
        <v>4.8576666666666667E-7</v>
      </c>
      <c r="F49" s="26">
        <v>21.1</v>
      </c>
      <c r="G49" s="26">
        <f t="shared" si="4"/>
        <v>294.10000000000002</v>
      </c>
      <c r="H49" s="26">
        <v>101.3</v>
      </c>
      <c r="I49" s="26">
        <f t="shared" si="5"/>
        <v>101300</v>
      </c>
      <c r="J49" s="26">
        <f t="shared" si="6"/>
        <v>2.0124824921938581E-5</v>
      </c>
      <c r="K49" s="28">
        <v>390.41584158415844</v>
      </c>
      <c r="L49" s="27">
        <f t="shared" si="7"/>
        <v>3.9041584158415845E-4</v>
      </c>
      <c r="M49" s="29">
        <f t="shared" si="8"/>
        <v>4.7762865441819992E-3</v>
      </c>
      <c r="N49" s="27">
        <f t="shared" si="9"/>
        <v>1.645012372258775E-6</v>
      </c>
      <c r="O49" s="21">
        <f t="shared" si="10"/>
        <v>2.032E-3</v>
      </c>
      <c r="P49" s="21">
        <v>1.45111777225214E-10</v>
      </c>
      <c r="Q49" s="2">
        <v>0.32</v>
      </c>
      <c r="R49" s="27">
        <f t="shared" si="11"/>
        <v>132000</v>
      </c>
      <c r="S49" s="2">
        <v>5.3058450282772E-3</v>
      </c>
      <c r="T49" s="11">
        <v>0.11</v>
      </c>
      <c r="U49" s="30">
        <f t="shared" si="12"/>
        <v>111000.00000000001</v>
      </c>
      <c r="V49" s="30">
        <f t="shared" si="1"/>
        <v>43.336158415841595</v>
      </c>
      <c r="W49" s="11">
        <f t="shared" si="13"/>
        <v>877.23340301105418</v>
      </c>
      <c r="X49" s="27">
        <f t="shared" si="14"/>
        <v>6.6564952397855637E-14</v>
      </c>
      <c r="Y49" s="27">
        <f t="shared" si="15"/>
        <v>40085414333.988663</v>
      </c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</row>
    <row r="50" spans="1:76" s="4" customFormat="1" x14ac:dyDescent="0.3">
      <c r="A50" s="26">
        <v>144</v>
      </c>
      <c r="B50" s="26">
        <f t="shared" si="2"/>
        <v>2.4</v>
      </c>
      <c r="C50" s="26">
        <v>20</v>
      </c>
      <c r="D50" s="26">
        <f t="shared" si="0"/>
        <v>29.146000000000001</v>
      </c>
      <c r="E50" s="26">
        <f t="shared" si="3"/>
        <v>4.8576666666666667E-7</v>
      </c>
      <c r="F50" s="26">
        <v>21.1</v>
      </c>
      <c r="G50" s="26">
        <f t="shared" si="4"/>
        <v>294.10000000000002</v>
      </c>
      <c r="H50" s="26">
        <v>101.3</v>
      </c>
      <c r="I50" s="26">
        <f t="shared" si="5"/>
        <v>101300</v>
      </c>
      <c r="J50" s="26">
        <f t="shared" si="6"/>
        <v>2.0124824921938581E-5</v>
      </c>
      <c r="K50" s="28">
        <v>385.76237623762381</v>
      </c>
      <c r="L50" s="27">
        <f t="shared" si="7"/>
        <v>3.8576237623762379E-4</v>
      </c>
      <c r="M50" s="29">
        <f t="shared" si="8"/>
        <v>4.7762865441819992E-3</v>
      </c>
      <c r="N50" s="27">
        <f t="shared" si="9"/>
        <v>1.6254050529505578E-6</v>
      </c>
      <c r="O50" s="21">
        <f t="shared" si="10"/>
        <v>2.032E-3</v>
      </c>
      <c r="P50" s="21">
        <v>1.45111777225214E-10</v>
      </c>
      <c r="Q50" s="2">
        <v>0.32</v>
      </c>
      <c r="R50" s="27">
        <f t="shared" si="11"/>
        <v>132000</v>
      </c>
      <c r="S50" s="2">
        <v>5.3058450282772E-3</v>
      </c>
      <c r="T50" s="11">
        <v>0.11</v>
      </c>
      <c r="U50" s="30">
        <f t="shared" si="12"/>
        <v>111000.00000000001</v>
      </c>
      <c r="V50" s="30">
        <f t="shared" si="1"/>
        <v>42.819623762376246</v>
      </c>
      <c r="W50" s="11">
        <f t="shared" si="13"/>
        <v>858.73701928969854</v>
      </c>
      <c r="X50" s="27">
        <f t="shared" si="14"/>
        <v>6.5762271333339906E-14</v>
      </c>
      <c r="Y50" s="27">
        <f t="shared" si="15"/>
        <v>39602039796.937294</v>
      </c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</row>
    <row r="51" spans="1:76" s="4" customFormat="1" x14ac:dyDescent="0.3">
      <c r="A51" s="26">
        <v>147</v>
      </c>
      <c r="B51" s="26">
        <f t="shared" si="2"/>
        <v>2.4500000000000002</v>
      </c>
      <c r="C51" s="26">
        <v>20</v>
      </c>
      <c r="D51" s="26">
        <f t="shared" si="0"/>
        <v>29.146000000000001</v>
      </c>
      <c r="E51" s="26">
        <f t="shared" si="3"/>
        <v>4.8576666666666667E-7</v>
      </c>
      <c r="F51" s="26">
        <v>21.1</v>
      </c>
      <c r="G51" s="26">
        <f t="shared" si="4"/>
        <v>294.10000000000002</v>
      </c>
      <c r="H51" s="26">
        <v>101.3</v>
      </c>
      <c r="I51" s="26">
        <f t="shared" si="5"/>
        <v>101300</v>
      </c>
      <c r="J51" s="26">
        <f t="shared" si="6"/>
        <v>2.0124824921938581E-5</v>
      </c>
      <c r="K51" s="28">
        <v>382.99009900990103</v>
      </c>
      <c r="L51" s="27">
        <f t="shared" si="7"/>
        <v>3.8299009900990102E-4</v>
      </c>
      <c r="M51" s="29">
        <f t="shared" si="8"/>
        <v>4.7762865441819992E-3</v>
      </c>
      <c r="N51" s="27">
        <f t="shared" si="9"/>
        <v>1.6137240967669388E-6</v>
      </c>
      <c r="O51" s="21">
        <f t="shared" si="10"/>
        <v>2.032E-3</v>
      </c>
      <c r="P51" s="21">
        <v>1.45111777225214E-10</v>
      </c>
      <c r="Q51" s="2">
        <v>0.32</v>
      </c>
      <c r="R51" s="27">
        <f t="shared" si="11"/>
        <v>132000</v>
      </c>
      <c r="S51" s="2">
        <v>5.3058450282772E-3</v>
      </c>
      <c r="T51" s="11">
        <v>0.11</v>
      </c>
      <c r="U51" s="30">
        <f t="shared" si="12"/>
        <v>111000.00000000001</v>
      </c>
      <c r="V51" s="30">
        <f t="shared" si="1"/>
        <v>42.511900990099015</v>
      </c>
      <c r="W51" s="11">
        <f t="shared" si="13"/>
        <v>847.80500141565756</v>
      </c>
      <c r="X51" s="27">
        <f t="shared" si="14"/>
        <v>6.5284229333213966E-14</v>
      </c>
      <c r="Y51" s="27">
        <f t="shared" si="15"/>
        <v>39314162904.461449</v>
      </c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</row>
    <row r="52" spans="1:76" s="4" customFormat="1" x14ac:dyDescent="0.3">
      <c r="A52" s="26">
        <v>150</v>
      </c>
      <c r="B52" s="26">
        <f t="shared" si="2"/>
        <v>2.5</v>
      </c>
      <c r="C52" s="26">
        <v>20</v>
      </c>
      <c r="D52" s="26">
        <f t="shared" si="0"/>
        <v>29.146000000000001</v>
      </c>
      <c r="E52" s="26">
        <f t="shared" si="3"/>
        <v>4.8576666666666667E-7</v>
      </c>
      <c r="F52" s="26">
        <v>21.1</v>
      </c>
      <c r="G52" s="26">
        <f t="shared" si="4"/>
        <v>294.10000000000002</v>
      </c>
      <c r="H52" s="26">
        <v>101.3</v>
      </c>
      <c r="I52" s="26">
        <f t="shared" si="5"/>
        <v>101300</v>
      </c>
      <c r="J52" s="26">
        <f t="shared" si="6"/>
        <v>2.0124824921938581E-5</v>
      </c>
      <c r="K52" s="28">
        <v>380.96039603960401</v>
      </c>
      <c r="L52" s="27">
        <f t="shared" si="7"/>
        <v>3.8096039603960401E-4</v>
      </c>
      <c r="M52" s="29">
        <f t="shared" si="8"/>
        <v>4.7762865441819992E-3</v>
      </c>
      <c r="N52" s="27">
        <f t="shared" si="9"/>
        <v>1.605171968132504E-6</v>
      </c>
      <c r="O52" s="21">
        <f t="shared" si="10"/>
        <v>2.032E-3</v>
      </c>
      <c r="P52" s="21">
        <v>1.45111777225214E-10</v>
      </c>
      <c r="Q52" s="2">
        <v>0.32</v>
      </c>
      <c r="R52" s="27">
        <f t="shared" si="11"/>
        <v>132000</v>
      </c>
      <c r="S52" s="2">
        <v>5.3058450282772E-3</v>
      </c>
      <c r="T52" s="11">
        <v>0.11</v>
      </c>
      <c r="U52" s="30">
        <f t="shared" si="12"/>
        <v>111000.00000000001</v>
      </c>
      <c r="V52" s="30">
        <f t="shared" si="1"/>
        <v>42.28660396039605</v>
      </c>
      <c r="W52" s="11">
        <f t="shared" si="13"/>
        <v>839.84247234706936</v>
      </c>
      <c r="X52" s="27">
        <f t="shared" si="14"/>
        <v>6.4934305258440623E-14</v>
      </c>
      <c r="Y52" s="27">
        <f t="shared" si="15"/>
        <v>39103438626.632942</v>
      </c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</row>
    <row r="53" spans="1:76" s="4" customFormat="1" x14ac:dyDescent="0.3">
      <c r="A53" s="26">
        <v>153</v>
      </c>
      <c r="B53" s="26">
        <f t="shared" si="2"/>
        <v>2.5499999999999998</v>
      </c>
      <c r="C53" s="26">
        <v>20</v>
      </c>
      <c r="D53" s="26">
        <f t="shared" si="0"/>
        <v>29.146000000000001</v>
      </c>
      <c r="E53" s="26">
        <f t="shared" si="3"/>
        <v>4.8576666666666667E-7</v>
      </c>
      <c r="F53" s="26">
        <v>21.1</v>
      </c>
      <c r="G53" s="26">
        <f t="shared" si="4"/>
        <v>294.10000000000002</v>
      </c>
      <c r="H53" s="26">
        <v>101.3</v>
      </c>
      <c r="I53" s="26">
        <f t="shared" si="5"/>
        <v>101300</v>
      </c>
      <c r="J53" s="26">
        <f t="shared" si="6"/>
        <v>2.0124824921938581E-5</v>
      </c>
      <c r="K53" s="28">
        <v>377.04950495049508</v>
      </c>
      <c r="L53" s="27">
        <f t="shared" si="7"/>
        <v>3.7704950495049506E-4</v>
      </c>
      <c r="M53" s="29">
        <f t="shared" si="8"/>
        <v>4.7762865441819992E-3</v>
      </c>
      <c r="N53" s="27">
        <f t="shared" si="9"/>
        <v>1.5886934763734701E-6</v>
      </c>
      <c r="O53" s="21">
        <f t="shared" si="10"/>
        <v>2.032E-3</v>
      </c>
      <c r="P53" s="21">
        <v>1.45111777225214E-10</v>
      </c>
      <c r="Q53" s="2">
        <v>0.32</v>
      </c>
      <c r="R53" s="27">
        <f t="shared" si="11"/>
        <v>132000</v>
      </c>
      <c r="S53" s="2">
        <v>5.3058450282772E-3</v>
      </c>
      <c r="T53" s="11">
        <v>0.11</v>
      </c>
      <c r="U53" s="30">
        <f t="shared" si="12"/>
        <v>111000.00000000001</v>
      </c>
      <c r="V53" s="30">
        <f t="shared" si="1"/>
        <v>41.852495049504959</v>
      </c>
      <c r="W53" s="11">
        <f t="shared" si="13"/>
        <v>824.59847991181857</v>
      </c>
      <c r="X53" s="27">
        <f t="shared" si="14"/>
        <v>6.4260229321895587E-14</v>
      </c>
      <c r="Y53" s="27">
        <f t="shared" si="15"/>
        <v>38697510097.645523</v>
      </c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</row>
    <row r="54" spans="1:76" s="4" customFormat="1" x14ac:dyDescent="0.3">
      <c r="A54" s="26">
        <v>156</v>
      </c>
      <c r="B54" s="26">
        <f t="shared" si="2"/>
        <v>2.6</v>
      </c>
      <c r="C54" s="26">
        <v>20</v>
      </c>
      <c r="D54" s="26">
        <f t="shared" si="0"/>
        <v>29.146000000000001</v>
      </c>
      <c r="E54" s="26">
        <f t="shared" si="3"/>
        <v>4.8576666666666667E-7</v>
      </c>
      <c r="F54" s="26">
        <v>21.1</v>
      </c>
      <c r="G54" s="26">
        <f t="shared" si="4"/>
        <v>294.10000000000002</v>
      </c>
      <c r="H54" s="26">
        <v>101.3</v>
      </c>
      <c r="I54" s="26">
        <f t="shared" si="5"/>
        <v>101300</v>
      </c>
      <c r="J54" s="26">
        <f t="shared" si="6"/>
        <v>2.0124824921938581E-5</v>
      </c>
      <c r="K54" s="28">
        <v>371.75247524752479</v>
      </c>
      <c r="L54" s="27">
        <f t="shared" si="7"/>
        <v>3.7175247524752481E-4</v>
      </c>
      <c r="M54" s="29">
        <f t="shared" si="8"/>
        <v>4.7762865441819992E-3</v>
      </c>
      <c r="N54" s="27">
        <f t="shared" si="9"/>
        <v>1.566374506522627E-6</v>
      </c>
      <c r="O54" s="21">
        <f t="shared" si="10"/>
        <v>2.032E-3</v>
      </c>
      <c r="P54" s="21">
        <v>1.45111777225214E-10</v>
      </c>
      <c r="Q54" s="2">
        <v>0.32</v>
      </c>
      <c r="R54" s="27">
        <f t="shared" si="11"/>
        <v>132000</v>
      </c>
      <c r="S54" s="2">
        <v>5.3058450282772E-3</v>
      </c>
      <c r="T54" s="11">
        <v>0.11</v>
      </c>
      <c r="U54" s="30">
        <f t="shared" si="12"/>
        <v>111000.00000000001</v>
      </c>
      <c r="V54" s="30">
        <f t="shared" si="1"/>
        <v>41.264524752475261</v>
      </c>
      <c r="W54" s="11">
        <f t="shared" si="13"/>
        <v>804.15840168491184</v>
      </c>
      <c r="X54" s="27">
        <f t="shared" si="14"/>
        <v>6.3347590034896109E-14</v>
      </c>
      <c r="Y54" s="27">
        <f t="shared" si="15"/>
        <v>38147918719.014435</v>
      </c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</row>
    <row r="55" spans="1:76" s="4" customFormat="1" x14ac:dyDescent="0.3">
      <c r="A55" s="26">
        <v>159</v>
      </c>
      <c r="B55" s="26">
        <f t="shared" si="2"/>
        <v>2.65</v>
      </c>
      <c r="C55" s="26">
        <v>20</v>
      </c>
      <c r="D55" s="26">
        <f t="shared" si="0"/>
        <v>29.146000000000001</v>
      </c>
      <c r="E55" s="26">
        <f t="shared" si="3"/>
        <v>4.8576666666666667E-7</v>
      </c>
      <c r="F55" s="26">
        <v>21.1</v>
      </c>
      <c r="G55" s="26">
        <f t="shared" si="4"/>
        <v>294.10000000000002</v>
      </c>
      <c r="H55" s="26">
        <v>101.3</v>
      </c>
      <c r="I55" s="26">
        <f t="shared" si="5"/>
        <v>101300</v>
      </c>
      <c r="J55" s="26">
        <f t="shared" si="6"/>
        <v>2.0124824921938581E-5</v>
      </c>
      <c r="K55" s="28">
        <v>381.45544554455449</v>
      </c>
      <c r="L55" s="27">
        <f t="shared" si="7"/>
        <v>3.8145544554455448E-4</v>
      </c>
      <c r="M55" s="29">
        <f t="shared" si="8"/>
        <v>4.7762865441819992E-3</v>
      </c>
      <c r="N55" s="27">
        <f t="shared" si="9"/>
        <v>1.6072578531652929E-6</v>
      </c>
      <c r="O55" s="21">
        <f t="shared" si="10"/>
        <v>2.032E-3</v>
      </c>
      <c r="P55" s="21">
        <v>1.45111777225214E-10</v>
      </c>
      <c r="Q55" s="2">
        <v>0.32</v>
      </c>
      <c r="R55" s="27">
        <f t="shared" si="11"/>
        <v>132000</v>
      </c>
      <c r="S55" s="2">
        <v>5.3058450282772E-3</v>
      </c>
      <c r="T55" s="11">
        <v>0.11</v>
      </c>
      <c r="U55" s="30">
        <f t="shared" si="12"/>
        <v>111000.00000000001</v>
      </c>
      <c r="V55" s="30">
        <f t="shared" si="1"/>
        <v>42.341554455445554</v>
      </c>
      <c r="W55" s="11">
        <f t="shared" si="13"/>
        <v>841.78133463273798</v>
      </c>
      <c r="X55" s="27">
        <f t="shared" si="14"/>
        <v>6.5019647080860847E-14</v>
      </c>
      <c r="Y55" s="27">
        <f t="shared" si="15"/>
        <v>39154831472.094406</v>
      </c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</row>
    <row r="56" spans="1:76" s="4" customFormat="1" x14ac:dyDescent="0.3">
      <c r="A56" s="26">
        <v>162</v>
      </c>
      <c r="B56" s="26">
        <f t="shared" si="2"/>
        <v>2.7</v>
      </c>
      <c r="C56" s="26">
        <v>20</v>
      </c>
      <c r="D56" s="26">
        <f t="shared" si="0"/>
        <v>29.146000000000001</v>
      </c>
      <c r="E56" s="26">
        <f t="shared" si="3"/>
        <v>4.8576666666666667E-7</v>
      </c>
      <c r="F56" s="26">
        <v>21.1</v>
      </c>
      <c r="G56" s="26">
        <f t="shared" si="4"/>
        <v>294.10000000000002</v>
      </c>
      <c r="H56" s="26">
        <v>101.3</v>
      </c>
      <c r="I56" s="26">
        <f t="shared" si="5"/>
        <v>101300</v>
      </c>
      <c r="J56" s="26">
        <f t="shared" si="6"/>
        <v>2.0124824921938581E-5</v>
      </c>
      <c r="K56" s="28">
        <v>374.57425742574259</v>
      </c>
      <c r="L56" s="27">
        <f t="shared" si="7"/>
        <v>3.7457425742574258E-4</v>
      </c>
      <c r="M56" s="29">
        <f t="shared" si="8"/>
        <v>4.7762865441819992E-3</v>
      </c>
      <c r="N56" s="27">
        <f t="shared" si="9"/>
        <v>1.5782640512095245E-6</v>
      </c>
      <c r="O56" s="21">
        <f t="shared" si="10"/>
        <v>2.032E-3</v>
      </c>
      <c r="P56" s="21">
        <v>1.45111777225214E-10</v>
      </c>
      <c r="Q56" s="2">
        <v>0.32</v>
      </c>
      <c r="R56" s="27">
        <f t="shared" si="11"/>
        <v>132000</v>
      </c>
      <c r="S56" s="2">
        <v>5.3058450282772E-3</v>
      </c>
      <c r="T56" s="11">
        <v>0.11</v>
      </c>
      <c r="U56" s="30">
        <f t="shared" si="12"/>
        <v>111000.00000000001</v>
      </c>
      <c r="V56" s="30">
        <f t="shared" si="1"/>
        <v>41.577742574257435</v>
      </c>
      <c r="W56" s="11">
        <f t="shared" si="13"/>
        <v>815.01740544344398</v>
      </c>
      <c r="X56" s="27">
        <f t="shared" si="14"/>
        <v>6.3833712546958581E-14</v>
      </c>
      <c r="Y56" s="27">
        <f t="shared" si="15"/>
        <v>38440661695.778458</v>
      </c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</row>
    <row r="57" spans="1:76" s="4" customFormat="1" x14ac:dyDescent="0.3">
      <c r="A57" s="26">
        <v>165</v>
      </c>
      <c r="B57" s="26">
        <f t="shared" si="2"/>
        <v>2.75</v>
      </c>
      <c r="C57" s="26">
        <v>20</v>
      </c>
      <c r="D57" s="26">
        <f t="shared" si="0"/>
        <v>29.146000000000001</v>
      </c>
      <c r="E57" s="26">
        <f t="shared" si="3"/>
        <v>4.8576666666666667E-7</v>
      </c>
      <c r="F57" s="26">
        <v>21.1</v>
      </c>
      <c r="G57" s="26">
        <f t="shared" si="4"/>
        <v>294.10000000000002</v>
      </c>
      <c r="H57" s="26">
        <v>101.3</v>
      </c>
      <c r="I57" s="26">
        <f t="shared" si="5"/>
        <v>101300</v>
      </c>
      <c r="J57" s="26">
        <f t="shared" si="6"/>
        <v>2.0124824921938581E-5</v>
      </c>
      <c r="K57" s="28">
        <v>368.5594059405941</v>
      </c>
      <c r="L57" s="27">
        <f t="shared" si="7"/>
        <v>3.6855940594059409E-4</v>
      </c>
      <c r="M57" s="29">
        <f t="shared" si="8"/>
        <v>4.7762865441819992E-3</v>
      </c>
      <c r="N57" s="27">
        <f t="shared" si="9"/>
        <v>1.5529205480611373E-6</v>
      </c>
      <c r="O57" s="21">
        <f t="shared" si="10"/>
        <v>2.032E-3</v>
      </c>
      <c r="P57" s="21">
        <v>1.45111777225214E-10</v>
      </c>
      <c r="Q57" s="2">
        <v>0.32</v>
      </c>
      <c r="R57" s="27">
        <f t="shared" si="11"/>
        <v>132000</v>
      </c>
      <c r="S57" s="2">
        <v>5.3058450282772E-3</v>
      </c>
      <c r="T57" s="11">
        <v>0.11</v>
      </c>
      <c r="U57" s="30">
        <f t="shared" si="12"/>
        <v>111000.00000000001</v>
      </c>
      <c r="V57" s="30">
        <f t="shared" si="1"/>
        <v>40.910094059405949</v>
      </c>
      <c r="W57" s="11">
        <f t="shared" si="13"/>
        <v>791.9521285893353</v>
      </c>
      <c r="X57" s="27">
        <f t="shared" si="14"/>
        <v>6.2797640106000177E-14</v>
      </c>
      <c r="Y57" s="27">
        <f t="shared" si="15"/>
        <v>37816738871.833305</v>
      </c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</row>
    <row r="58" spans="1:76" s="4" customFormat="1" x14ac:dyDescent="0.3">
      <c r="A58" s="26">
        <v>168</v>
      </c>
      <c r="B58" s="26">
        <f t="shared" si="2"/>
        <v>2.8</v>
      </c>
      <c r="C58" s="26">
        <v>20</v>
      </c>
      <c r="D58" s="26">
        <f t="shared" si="0"/>
        <v>29.146000000000001</v>
      </c>
      <c r="E58" s="26">
        <f t="shared" si="3"/>
        <v>4.8576666666666667E-7</v>
      </c>
      <c r="F58" s="26">
        <v>21.1</v>
      </c>
      <c r="G58" s="26">
        <f t="shared" si="4"/>
        <v>294.10000000000002</v>
      </c>
      <c r="H58" s="26">
        <v>101.3</v>
      </c>
      <c r="I58" s="26">
        <f t="shared" si="5"/>
        <v>101300</v>
      </c>
      <c r="J58" s="26">
        <f t="shared" si="6"/>
        <v>2.0124824921938581E-5</v>
      </c>
      <c r="K58" s="28">
        <v>377.37128712871294</v>
      </c>
      <c r="L58" s="27">
        <f t="shared" si="7"/>
        <v>3.7737128712871294E-4</v>
      </c>
      <c r="M58" s="29">
        <f t="shared" si="8"/>
        <v>4.7762865441819992E-3</v>
      </c>
      <c r="N58" s="27">
        <f t="shared" si="9"/>
        <v>1.5900493016447831E-6</v>
      </c>
      <c r="O58" s="21">
        <f t="shared" si="10"/>
        <v>2.032E-3</v>
      </c>
      <c r="P58" s="21">
        <v>1.45111777225214E-10</v>
      </c>
      <c r="Q58" s="2">
        <v>0.32</v>
      </c>
      <c r="R58" s="27">
        <f t="shared" si="11"/>
        <v>132000</v>
      </c>
      <c r="S58" s="2">
        <v>5.3058450282772E-3</v>
      </c>
      <c r="T58" s="11">
        <v>0.11</v>
      </c>
      <c r="U58" s="30">
        <f t="shared" si="12"/>
        <v>111000.00000000001</v>
      </c>
      <c r="V58" s="30">
        <f t="shared" si="1"/>
        <v>41.888212871287145</v>
      </c>
      <c r="W58" s="11">
        <f t="shared" si="13"/>
        <v>825.84783677310793</v>
      </c>
      <c r="X58" s="27">
        <f t="shared" si="14"/>
        <v>6.4315682950628552E-14</v>
      </c>
      <c r="Y58" s="27">
        <f t="shared" si="15"/>
        <v>38730904272.868515</v>
      </c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</row>
    <row r="59" spans="1:76" s="4" customFormat="1" x14ac:dyDescent="0.3">
      <c r="A59" s="26">
        <v>171</v>
      </c>
      <c r="B59" s="26">
        <f t="shared" si="2"/>
        <v>2.85</v>
      </c>
      <c r="C59" s="26">
        <v>20</v>
      </c>
      <c r="D59" s="26">
        <f t="shared" si="0"/>
        <v>29.146000000000001</v>
      </c>
      <c r="E59" s="26">
        <f t="shared" si="3"/>
        <v>4.8576666666666667E-7</v>
      </c>
      <c r="F59" s="26">
        <v>21.1</v>
      </c>
      <c r="G59" s="26">
        <f t="shared" si="4"/>
        <v>294.10000000000002</v>
      </c>
      <c r="H59" s="26">
        <v>101.3</v>
      </c>
      <c r="I59" s="26">
        <f t="shared" si="5"/>
        <v>101300</v>
      </c>
      <c r="J59" s="26">
        <f t="shared" si="6"/>
        <v>2.0124824921938581E-5</v>
      </c>
      <c r="K59" s="28">
        <v>377.0990099009901</v>
      </c>
      <c r="L59" s="27">
        <f t="shared" si="7"/>
        <v>3.7709900990099012E-4</v>
      </c>
      <c r="M59" s="29">
        <f t="shared" si="8"/>
        <v>4.7762865441819992E-3</v>
      </c>
      <c r="N59" s="27">
        <f t="shared" si="9"/>
        <v>1.5889020648767488E-6</v>
      </c>
      <c r="O59" s="21">
        <f t="shared" si="10"/>
        <v>2.032E-3</v>
      </c>
      <c r="P59" s="21">
        <v>1.45111777225214E-10</v>
      </c>
      <c r="Q59" s="2">
        <v>0.32</v>
      </c>
      <c r="R59" s="27">
        <f t="shared" si="11"/>
        <v>132000</v>
      </c>
      <c r="S59" s="2">
        <v>5.3058450282772E-3</v>
      </c>
      <c r="T59" s="11">
        <v>0.11</v>
      </c>
      <c r="U59" s="30">
        <f t="shared" si="12"/>
        <v>111000.00000000001</v>
      </c>
      <c r="V59" s="30">
        <f t="shared" si="1"/>
        <v>41.857990099009911</v>
      </c>
      <c r="W59" s="11">
        <f t="shared" si="13"/>
        <v>824.79063150439526</v>
      </c>
      <c r="X59" s="27">
        <f t="shared" si="14"/>
        <v>6.4268760552635519E-14</v>
      </c>
      <c r="Y59" s="27">
        <f t="shared" si="15"/>
        <v>38702647604.797112</v>
      </c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</row>
    <row r="60" spans="1:76" s="4" customFormat="1" x14ac:dyDescent="0.3">
      <c r="A60" s="26">
        <v>174</v>
      </c>
      <c r="B60" s="26">
        <f t="shared" si="2"/>
        <v>2.9</v>
      </c>
      <c r="C60" s="26">
        <v>20</v>
      </c>
      <c r="D60" s="26">
        <f t="shared" si="0"/>
        <v>29.146000000000001</v>
      </c>
      <c r="E60" s="26">
        <f t="shared" si="3"/>
        <v>4.8576666666666667E-7</v>
      </c>
      <c r="F60" s="26">
        <v>21.1</v>
      </c>
      <c r="G60" s="26">
        <f t="shared" si="4"/>
        <v>294.10000000000002</v>
      </c>
      <c r="H60" s="26">
        <v>101.3</v>
      </c>
      <c r="I60" s="26">
        <f t="shared" si="5"/>
        <v>101300</v>
      </c>
      <c r="J60" s="26">
        <f t="shared" si="6"/>
        <v>2.0124824921938581E-5</v>
      </c>
      <c r="K60" s="28">
        <v>368.21287128712873</v>
      </c>
      <c r="L60" s="27">
        <f t="shared" si="7"/>
        <v>3.6821287128712874E-4</v>
      </c>
      <c r="M60" s="29">
        <f t="shared" si="8"/>
        <v>4.7762865441819992E-3</v>
      </c>
      <c r="N60" s="27">
        <f t="shared" si="9"/>
        <v>1.5514604285381849E-6</v>
      </c>
      <c r="O60" s="21">
        <f t="shared" si="10"/>
        <v>2.032E-3</v>
      </c>
      <c r="P60" s="21">
        <v>1.45111777225214E-10</v>
      </c>
      <c r="Q60" s="2">
        <v>0.32</v>
      </c>
      <c r="R60" s="27">
        <f t="shared" si="11"/>
        <v>132000</v>
      </c>
      <c r="S60" s="2">
        <v>5.3058450282772E-3</v>
      </c>
      <c r="T60" s="11">
        <v>0.11</v>
      </c>
      <c r="U60" s="30">
        <f t="shared" si="12"/>
        <v>111000.00000000001</v>
      </c>
      <c r="V60" s="30">
        <f t="shared" si="1"/>
        <v>40.871628712871292</v>
      </c>
      <c r="W60" s="11">
        <f t="shared" si="13"/>
        <v>790.63262752384287</v>
      </c>
      <c r="X60" s="27">
        <f t="shared" si="14"/>
        <v>6.2737964264089079E-14</v>
      </c>
      <c r="Y60" s="27">
        <f t="shared" si="15"/>
        <v>37780802079.834442</v>
      </c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</row>
    <row r="61" spans="1:76" s="4" customFormat="1" x14ac:dyDescent="0.3">
      <c r="A61" s="26">
        <v>177</v>
      </c>
      <c r="B61" s="26">
        <f t="shared" si="2"/>
        <v>2.95</v>
      </c>
      <c r="C61" s="26">
        <v>20</v>
      </c>
      <c r="D61" s="26">
        <f t="shared" si="0"/>
        <v>29.146000000000001</v>
      </c>
      <c r="E61" s="26">
        <f t="shared" si="3"/>
        <v>4.8576666666666667E-7</v>
      </c>
      <c r="F61" s="26">
        <v>21.1</v>
      </c>
      <c r="G61" s="26">
        <f t="shared" si="4"/>
        <v>294.10000000000002</v>
      </c>
      <c r="H61" s="26">
        <v>101.3</v>
      </c>
      <c r="I61" s="26">
        <f t="shared" si="5"/>
        <v>101300</v>
      </c>
      <c r="J61" s="26">
        <f t="shared" si="6"/>
        <v>2.0124824921938581E-5</v>
      </c>
      <c r="K61" s="28">
        <v>371.95049504950498</v>
      </c>
      <c r="L61" s="27">
        <f t="shared" si="7"/>
        <v>3.7195049504950499E-4</v>
      </c>
      <c r="M61" s="29">
        <f t="shared" si="8"/>
        <v>4.7762865441819992E-3</v>
      </c>
      <c r="N61" s="27">
        <f t="shared" si="9"/>
        <v>1.5672088605357426E-6</v>
      </c>
      <c r="O61" s="21">
        <f t="shared" si="10"/>
        <v>2.032E-3</v>
      </c>
      <c r="P61" s="21">
        <v>1.45111777225214E-10</v>
      </c>
      <c r="Q61" s="2">
        <v>0.32</v>
      </c>
      <c r="R61" s="27">
        <f t="shared" si="11"/>
        <v>132000</v>
      </c>
      <c r="S61" s="2">
        <v>5.3058450282772E-3</v>
      </c>
      <c r="T61" s="11">
        <v>0.11</v>
      </c>
      <c r="U61" s="30">
        <f t="shared" si="12"/>
        <v>111000.00000000001</v>
      </c>
      <c r="V61" s="30">
        <f t="shared" si="1"/>
        <v>41.286504950495058</v>
      </c>
      <c r="W61" s="11">
        <f t="shared" si="13"/>
        <v>804.91823162998912</v>
      </c>
      <c r="X61" s="27">
        <f t="shared" si="14"/>
        <v>6.3381700204483652E-14</v>
      </c>
      <c r="Y61" s="27">
        <f t="shared" si="15"/>
        <v>38168459863.14006</v>
      </c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</row>
    <row r="62" spans="1:76" s="4" customFormat="1" x14ac:dyDescent="0.3">
      <c r="A62" s="26">
        <v>180</v>
      </c>
      <c r="B62" s="26">
        <f t="shared" si="2"/>
        <v>3</v>
      </c>
      <c r="C62" s="26">
        <v>20</v>
      </c>
      <c r="D62" s="26">
        <f t="shared" si="0"/>
        <v>29.146000000000001</v>
      </c>
      <c r="E62" s="26">
        <f t="shared" si="3"/>
        <v>4.8576666666666667E-7</v>
      </c>
      <c r="F62" s="26">
        <v>21.1</v>
      </c>
      <c r="G62" s="26">
        <f t="shared" si="4"/>
        <v>294.10000000000002</v>
      </c>
      <c r="H62" s="26">
        <v>101.3</v>
      </c>
      <c r="I62" s="26">
        <f t="shared" si="5"/>
        <v>101300</v>
      </c>
      <c r="J62" s="26">
        <f t="shared" si="6"/>
        <v>2.0124824921938581E-5</v>
      </c>
      <c r="K62" s="28">
        <v>382.56930693069307</v>
      </c>
      <c r="L62" s="27">
        <f t="shared" si="7"/>
        <v>3.8256930693069308E-4</v>
      </c>
      <c r="M62" s="29">
        <f t="shared" si="8"/>
        <v>4.7762865441819992E-3</v>
      </c>
      <c r="N62" s="27">
        <f t="shared" si="9"/>
        <v>1.611951094489068E-6</v>
      </c>
      <c r="O62" s="21">
        <f t="shared" si="10"/>
        <v>2.032E-3</v>
      </c>
      <c r="P62" s="21">
        <v>1.45111777225214E-10</v>
      </c>
      <c r="Q62" s="2">
        <v>0.32</v>
      </c>
      <c r="R62" s="27">
        <f t="shared" si="11"/>
        <v>132000</v>
      </c>
      <c r="S62" s="2">
        <v>5.3058450282772E-3</v>
      </c>
      <c r="T62" s="11">
        <v>0.11</v>
      </c>
      <c r="U62" s="30">
        <f t="shared" si="12"/>
        <v>111000.00000000001</v>
      </c>
      <c r="V62" s="30">
        <f t="shared" si="1"/>
        <v>42.465193069306935</v>
      </c>
      <c r="W62" s="11">
        <f t="shared" si="13"/>
        <v>846.15136581139438</v>
      </c>
      <c r="X62" s="27">
        <f t="shared" si="14"/>
        <v>6.5211679181264334E-14</v>
      </c>
      <c r="Y62" s="27">
        <f t="shared" si="15"/>
        <v>39270473202.957382</v>
      </c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</row>
    <row r="63" spans="1:76" s="4" customFormat="1" x14ac:dyDescent="0.3">
      <c r="A63" s="26">
        <v>183</v>
      </c>
      <c r="B63" s="26">
        <f t="shared" si="2"/>
        <v>3.05</v>
      </c>
      <c r="C63" s="26">
        <v>20</v>
      </c>
      <c r="D63" s="26">
        <f t="shared" si="0"/>
        <v>29.146000000000001</v>
      </c>
      <c r="E63" s="26">
        <f t="shared" si="3"/>
        <v>4.8576666666666667E-7</v>
      </c>
      <c r="F63" s="26">
        <v>21.1</v>
      </c>
      <c r="G63" s="26">
        <f t="shared" si="4"/>
        <v>294.10000000000002</v>
      </c>
      <c r="H63" s="26">
        <v>101.3</v>
      </c>
      <c r="I63" s="26">
        <f t="shared" si="5"/>
        <v>101300</v>
      </c>
      <c r="J63" s="26">
        <f t="shared" si="6"/>
        <v>2.0124824921938581E-5</v>
      </c>
      <c r="K63" s="28">
        <v>390.36633663366342</v>
      </c>
      <c r="L63" s="27">
        <f t="shared" si="7"/>
        <v>3.9036633663366345E-4</v>
      </c>
      <c r="M63" s="29">
        <f t="shared" si="8"/>
        <v>4.7762865441819992E-3</v>
      </c>
      <c r="N63" s="27">
        <f t="shared" si="9"/>
        <v>1.6448037837554966E-6</v>
      </c>
      <c r="O63" s="21">
        <f t="shared" si="10"/>
        <v>2.032E-3</v>
      </c>
      <c r="P63" s="21">
        <v>1.45111777225214E-10</v>
      </c>
      <c r="Q63" s="2">
        <v>0.32</v>
      </c>
      <c r="R63" s="27">
        <f t="shared" si="11"/>
        <v>132000</v>
      </c>
      <c r="S63" s="2">
        <v>5.3058450282772E-3</v>
      </c>
      <c r="T63" s="11">
        <v>0.11</v>
      </c>
      <c r="U63" s="30">
        <f t="shared" si="12"/>
        <v>111000.00000000001</v>
      </c>
      <c r="V63" s="30">
        <f t="shared" si="1"/>
        <v>43.330663366336651</v>
      </c>
      <c r="W63" s="11">
        <f t="shared" si="13"/>
        <v>877.03566914376654</v>
      </c>
      <c r="X63" s="27">
        <f t="shared" si="14"/>
        <v>6.6556411556636453E-14</v>
      </c>
      <c r="Y63" s="27">
        <f t="shared" si="15"/>
        <v>40080271039.406471</v>
      </c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</row>
    <row r="64" spans="1:76" s="4" customFormat="1" x14ac:dyDescent="0.3">
      <c r="A64" s="26">
        <v>186</v>
      </c>
      <c r="B64" s="26">
        <f t="shared" si="2"/>
        <v>3.1</v>
      </c>
      <c r="C64" s="26">
        <v>20</v>
      </c>
      <c r="D64" s="26">
        <f t="shared" si="0"/>
        <v>29.146000000000001</v>
      </c>
      <c r="E64" s="26">
        <f t="shared" si="3"/>
        <v>4.8576666666666667E-7</v>
      </c>
      <c r="F64" s="26">
        <v>21.1</v>
      </c>
      <c r="G64" s="26">
        <f t="shared" si="4"/>
        <v>294.10000000000002</v>
      </c>
      <c r="H64" s="26">
        <v>101.3</v>
      </c>
      <c r="I64" s="26">
        <f t="shared" si="5"/>
        <v>101300</v>
      </c>
      <c r="J64" s="26">
        <f t="shared" si="6"/>
        <v>2.0124824921938581E-5</v>
      </c>
      <c r="K64" s="28">
        <v>378.38613861386142</v>
      </c>
      <c r="L64" s="27">
        <f t="shared" si="7"/>
        <v>3.7838613861386142E-4</v>
      </c>
      <c r="M64" s="29">
        <f t="shared" si="8"/>
        <v>4.7762865441819992E-3</v>
      </c>
      <c r="N64" s="27">
        <f t="shared" si="9"/>
        <v>1.5943253659620004E-6</v>
      </c>
      <c r="O64" s="21">
        <f t="shared" si="10"/>
        <v>2.032E-3</v>
      </c>
      <c r="P64" s="21">
        <v>1.45111777225214E-10</v>
      </c>
      <c r="Q64" s="2">
        <v>0.32</v>
      </c>
      <c r="R64" s="27">
        <f t="shared" si="11"/>
        <v>132000</v>
      </c>
      <c r="S64" s="2">
        <v>5.3058450282772E-3</v>
      </c>
      <c r="T64" s="11">
        <v>0.11</v>
      </c>
      <c r="U64" s="30">
        <f t="shared" si="12"/>
        <v>111000.00000000001</v>
      </c>
      <c r="V64" s="30">
        <f t="shared" si="1"/>
        <v>42.000861386138624</v>
      </c>
      <c r="W64" s="11">
        <f t="shared" si="13"/>
        <v>829.79386742281645</v>
      </c>
      <c r="X64" s="27">
        <f t="shared" si="14"/>
        <v>6.4490584911452585E-14</v>
      </c>
      <c r="Y64" s="27">
        <f t="shared" si="15"/>
        <v>38836230233.67675</v>
      </c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</row>
    <row r="65" spans="1:76" s="4" customFormat="1" x14ac:dyDescent="0.3">
      <c r="A65" s="26">
        <v>189</v>
      </c>
      <c r="B65" s="26">
        <f t="shared" si="2"/>
        <v>3.15</v>
      </c>
      <c r="C65" s="26">
        <v>20</v>
      </c>
      <c r="D65" s="26">
        <f t="shared" si="0"/>
        <v>29.146000000000001</v>
      </c>
      <c r="E65" s="26">
        <f t="shared" si="3"/>
        <v>4.8576666666666667E-7</v>
      </c>
      <c r="F65" s="26">
        <v>21.1</v>
      </c>
      <c r="G65" s="26">
        <f t="shared" si="4"/>
        <v>294.10000000000002</v>
      </c>
      <c r="H65" s="26">
        <v>101.3</v>
      </c>
      <c r="I65" s="26">
        <f t="shared" si="5"/>
        <v>101300</v>
      </c>
      <c r="J65" s="26">
        <f t="shared" si="6"/>
        <v>2.0124824921938581E-5</v>
      </c>
      <c r="K65" s="28">
        <v>377.61881188118815</v>
      </c>
      <c r="L65" s="27">
        <f t="shared" si="7"/>
        <v>3.7761881188118818E-4</v>
      </c>
      <c r="M65" s="29">
        <f t="shared" si="8"/>
        <v>4.7762865441819992E-3</v>
      </c>
      <c r="N65" s="27">
        <f t="shared" si="9"/>
        <v>1.5910922441611776E-6</v>
      </c>
      <c r="O65" s="21">
        <f t="shared" si="10"/>
        <v>2.032E-3</v>
      </c>
      <c r="P65" s="21">
        <v>1.45111777225214E-10</v>
      </c>
      <c r="Q65" s="2">
        <v>0.32</v>
      </c>
      <c r="R65" s="27">
        <f t="shared" si="11"/>
        <v>132000</v>
      </c>
      <c r="S65" s="2">
        <v>5.3058450282772E-3</v>
      </c>
      <c r="T65" s="11">
        <v>0.11</v>
      </c>
      <c r="U65" s="30">
        <f t="shared" si="12"/>
        <v>111000.00000000001</v>
      </c>
      <c r="V65" s="30">
        <f t="shared" si="1"/>
        <v>41.915688118811893</v>
      </c>
      <c r="W65" s="11">
        <f t="shared" si="13"/>
        <v>826.80947802082483</v>
      </c>
      <c r="X65" s="27">
        <f t="shared" si="14"/>
        <v>6.4358340600082097E-14</v>
      </c>
      <c r="Y65" s="27">
        <f t="shared" si="15"/>
        <v>38756592709.369438</v>
      </c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</row>
    <row r="66" spans="1:76" s="4" customFormat="1" x14ac:dyDescent="0.3">
      <c r="A66" s="26">
        <v>192</v>
      </c>
      <c r="B66" s="26">
        <f t="shared" si="2"/>
        <v>3.2</v>
      </c>
      <c r="C66" s="26">
        <v>20</v>
      </c>
      <c r="D66" s="26">
        <f t="shared" ref="D66:D82" si="16">(C66*1.4573)</f>
        <v>29.146000000000001</v>
      </c>
      <c r="E66" s="26">
        <f t="shared" si="3"/>
        <v>4.8576666666666667E-7</v>
      </c>
      <c r="F66" s="26">
        <v>21.1</v>
      </c>
      <c r="G66" s="26">
        <f t="shared" si="4"/>
        <v>294.10000000000002</v>
      </c>
      <c r="H66" s="26">
        <v>101.3</v>
      </c>
      <c r="I66" s="26">
        <f t="shared" si="5"/>
        <v>101300</v>
      </c>
      <c r="J66" s="26">
        <f t="shared" si="6"/>
        <v>2.0124824921938581E-5</v>
      </c>
      <c r="K66" s="28">
        <v>380.09405940594064</v>
      </c>
      <c r="L66" s="27">
        <f t="shared" si="7"/>
        <v>3.8009405940594065E-4</v>
      </c>
      <c r="M66" s="29">
        <f t="shared" si="8"/>
        <v>4.7762865441819992E-3</v>
      </c>
      <c r="N66" s="27">
        <f t="shared" si="9"/>
        <v>1.6015216693251232E-6</v>
      </c>
      <c r="O66" s="21">
        <f t="shared" si="10"/>
        <v>2.032E-3</v>
      </c>
      <c r="P66" s="21">
        <v>1.45111777225214E-10</v>
      </c>
      <c r="Q66" s="2">
        <v>0.32</v>
      </c>
      <c r="R66" s="27">
        <f t="shared" si="11"/>
        <v>132000</v>
      </c>
      <c r="S66" s="2">
        <v>5.3058450282772E-3</v>
      </c>
      <c r="T66" s="11">
        <v>0.11</v>
      </c>
      <c r="U66" s="30">
        <f t="shared" si="12"/>
        <v>111000.00000000001</v>
      </c>
      <c r="V66" s="30">
        <f t="shared" ref="V66:V82" si="17">(L66*U66)</f>
        <v>42.190440594059417</v>
      </c>
      <c r="W66" s="11">
        <f t="shared" si="13"/>
        <v>836.45446012065054</v>
      </c>
      <c r="X66" s="27">
        <f t="shared" si="14"/>
        <v>6.4784965608323876E-14</v>
      </c>
      <c r="Y66" s="27">
        <f t="shared" si="15"/>
        <v>39013506289.332642</v>
      </c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</row>
    <row r="67" spans="1:76" s="4" customFormat="1" x14ac:dyDescent="0.3">
      <c r="A67" s="26">
        <v>195</v>
      </c>
      <c r="B67" s="26">
        <f t="shared" ref="B67:B82" si="18">(A67/60)</f>
        <v>3.25</v>
      </c>
      <c r="C67" s="26">
        <v>20</v>
      </c>
      <c r="D67" s="26">
        <f t="shared" si="16"/>
        <v>29.146000000000001</v>
      </c>
      <c r="E67" s="26">
        <f t="shared" ref="E67:E82" si="19">(D67/(1000000*60))</f>
        <v>4.8576666666666667E-7</v>
      </c>
      <c r="F67" s="26">
        <v>21.1</v>
      </c>
      <c r="G67" s="26">
        <f t="shared" ref="G67:G82" si="20">(273+F67)</f>
        <v>294.10000000000002</v>
      </c>
      <c r="H67" s="26">
        <v>101.3</v>
      </c>
      <c r="I67" s="26">
        <f t="shared" ref="I67:I82" si="21">(H67*1000)</f>
        <v>101300</v>
      </c>
      <c r="J67" s="26">
        <f t="shared" ref="J67:J82" si="22">((I67*E67)/(8.314*G67))</f>
        <v>2.0124824921938581E-5</v>
      </c>
      <c r="K67" s="28">
        <v>392.89108910891088</v>
      </c>
      <c r="L67" s="27">
        <f t="shared" ref="L67:L82" si="23">(K67/1000000)</f>
        <v>3.9289108910891087E-4</v>
      </c>
      <c r="M67" s="29">
        <f t="shared" ref="M67:M130" si="24">(3.142*3.07*3.07*25.4*25.4)/(4*1000000)</f>
        <v>4.7762865441819992E-3</v>
      </c>
      <c r="N67" s="27">
        <f t="shared" ref="N67:N82" si="25">(L67*J67)/M67</f>
        <v>1.6554417974227202E-6</v>
      </c>
      <c r="O67" s="21">
        <f t="shared" ref="O67:O130" si="26">(2.032/1000)</f>
        <v>2.032E-3</v>
      </c>
      <c r="P67" s="21">
        <v>1.45111777225214E-10</v>
      </c>
      <c r="Q67" s="2">
        <v>0.32</v>
      </c>
      <c r="R67" s="27">
        <f t="shared" ref="R67:R82" si="27">(1+Q67)*100000*1</f>
        <v>132000</v>
      </c>
      <c r="S67" s="2">
        <v>5.3058450282772E-3</v>
      </c>
      <c r="T67" s="11">
        <v>0.11</v>
      </c>
      <c r="U67" s="30">
        <f t="shared" ref="U67:U82" si="28">(1+T67)*100000</f>
        <v>111000.00000000001</v>
      </c>
      <c r="V67" s="30">
        <f t="shared" si="17"/>
        <v>43.610910891089112</v>
      </c>
      <c r="W67" s="11">
        <f t="shared" ref="W67:W82" si="29">((N67*O67/P67) + SQRT(V67))^2</f>
        <v>887.1465096882124</v>
      </c>
      <c r="X67" s="27">
        <f t="shared" ref="X67:X82" si="30">(N67*S67)/(R67-W67)</f>
        <v>6.6992040800230498E-14</v>
      </c>
      <c r="Y67" s="27">
        <f t="shared" ref="Y67:Y82" si="31">(X67*6.022E+23)</f>
        <v>40342606969.898811</v>
      </c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</row>
    <row r="68" spans="1:76" s="4" customFormat="1" x14ac:dyDescent="0.3">
      <c r="A68" s="26">
        <v>198</v>
      </c>
      <c r="B68" s="26">
        <f t="shared" si="18"/>
        <v>3.3</v>
      </c>
      <c r="C68" s="26">
        <v>20</v>
      </c>
      <c r="D68" s="26">
        <f t="shared" si="16"/>
        <v>29.146000000000001</v>
      </c>
      <c r="E68" s="26">
        <f t="shared" si="19"/>
        <v>4.8576666666666667E-7</v>
      </c>
      <c r="F68" s="26">
        <v>21.1</v>
      </c>
      <c r="G68" s="26">
        <f t="shared" si="20"/>
        <v>294.10000000000002</v>
      </c>
      <c r="H68" s="26">
        <v>101.3</v>
      </c>
      <c r="I68" s="26">
        <f t="shared" si="21"/>
        <v>101300</v>
      </c>
      <c r="J68" s="26">
        <f t="shared" si="22"/>
        <v>2.0124824921938581E-5</v>
      </c>
      <c r="K68" s="28">
        <v>393.95544554455449</v>
      </c>
      <c r="L68" s="27">
        <f t="shared" si="23"/>
        <v>3.9395544554455452E-4</v>
      </c>
      <c r="M68" s="29">
        <f t="shared" si="24"/>
        <v>4.7762865441819992E-3</v>
      </c>
      <c r="N68" s="27">
        <f t="shared" si="25"/>
        <v>1.659926450243217E-6</v>
      </c>
      <c r="O68" s="21">
        <f t="shared" si="26"/>
        <v>2.032E-3</v>
      </c>
      <c r="P68" s="21">
        <v>1.45111777225214E-10</v>
      </c>
      <c r="Q68" s="2">
        <v>0.32</v>
      </c>
      <c r="R68" s="27">
        <f t="shared" si="27"/>
        <v>132000</v>
      </c>
      <c r="S68" s="2">
        <v>5.3058450282772E-3</v>
      </c>
      <c r="T68" s="11">
        <v>0.11</v>
      </c>
      <c r="U68" s="30">
        <f t="shared" si="28"/>
        <v>111000.00000000001</v>
      </c>
      <c r="V68" s="30">
        <f t="shared" si="17"/>
        <v>43.729054455445556</v>
      </c>
      <c r="W68" s="11">
        <f t="shared" si="29"/>
        <v>891.42506436127667</v>
      </c>
      <c r="X68" s="27">
        <f t="shared" si="30"/>
        <v>6.7175716825938414E-14</v>
      </c>
      <c r="Y68" s="27">
        <f t="shared" si="31"/>
        <v>40453216672.580116</v>
      </c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</row>
    <row r="69" spans="1:76" s="4" customFormat="1" x14ac:dyDescent="0.3">
      <c r="A69" s="26">
        <v>201</v>
      </c>
      <c r="B69" s="26">
        <f t="shared" si="18"/>
        <v>3.35</v>
      </c>
      <c r="C69" s="26">
        <v>20</v>
      </c>
      <c r="D69" s="26">
        <f t="shared" si="16"/>
        <v>29.146000000000001</v>
      </c>
      <c r="E69" s="26">
        <f t="shared" si="19"/>
        <v>4.8576666666666667E-7</v>
      </c>
      <c r="F69" s="26">
        <v>21.1</v>
      </c>
      <c r="G69" s="26">
        <f t="shared" si="20"/>
        <v>294.10000000000002</v>
      </c>
      <c r="H69" s="26">
        <v>101.3</v>
      </c>
      <c r="I69" s="26">
        <f t="shared" si="21"/>
        <v>101300</v>
      </c>
      <c r="J69" s="26">
        <f t="shared" si="22"/>
        <v>2.0124824921938581E-5</v>
      </c>
      <c r="K69" s="28">
        <v>401.05940594059405</v>
      </c>
      <c r="L69" s="27">
        <f t="shared" si="23"/>
        <v>4.0105940594059407E-4</v>
      </c>
      <c r="M69" s="29">
        <f t="shared" si="24"/>
        <v>4.7762865441819992E-3</v>
      </c>
      <c r="N69" s="27">
        <f t="shared" si="25"/>
        <v>1.6898589004637401E-6</v>
      </c>
      <c r="O69" s="21">
        <f t="shared" si="26"/>
        <v>2.032E-3</v>
      </c>
      <c r="P69" s="21">
        <v>1.45111777225214E-10</v>
      </c>
      <c r="Q69" s="2">
        <v>0.32</v>
      </c>
      <c r="R69" s="27">
        <f t="shared" si="27"/>
        <v>132000</v>
      </c>
      <c r="S69" s="2">
        <v>5.3058450282772E-3</v>
      </c>
      <c r="T69" s="11">
        <v>0.11</v>
      </c>
      <c r="U69" s="30">
        <f t="shared" si="28"/>
        <v>111000.00000000001</v>
      </c>
      <c r="V69" s="30">
        <f t="shared" si="17"/>
        <v>44.517594059405951</v>
      </c>
      <c r="W69" s="11">
        <f t="shared" si="29"/>
        <v>920.22692506174576</v>
      </c>
      <c r="X69" s="27">
        <f t="shared" si="30"/>
        <v>6.8402082450887216E-14</v>
      </c>
      <c r="Y69" s="27">
        <f t="shared" si="31"/>
        <v>41191734051.924286</v>
      </c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</row>
    <row r="70" spans="1:76" s="4" customFormat="1" x14ac:dyDescent="0.3">
      <c r="A70" s="26">
        <v>204</v>
      </c>
      <c r="B70" s="26">
        <f t="shared" si="18"/>
        <v>3.4</v>
      </c>
      <c r="C70" s="26">
        <v>20</v>
      </c>
      <c r="D70" s="26">
        <f t="shared" si="16"/>
        <v>29.146000000000001</v>
      </c>
      <c r="E70" s="26">
        <f t="shared" si="19"/>
        <v>4.8576666666666667E-7</v>
      </c>
      <c r="F70" s="26">
        <v>21.1</v>
      </c>
      <c r="G70" s="26">
        <f t="shared" si="20"/>
        <v>294.10000000000002</v>
      </c>
      <c r="H70" s="26">
        <v>101.3</v>
      </c>
      <c r="I70" s="26">
        <f t="shared" si="21"/>
        <v>101300</v>
      </c>
      <c r="J70" s="26">
        <f t="shared" si="22"/>
        <v>2.0124824921938581E-5</v>
      </c>
      <c r="K70" s="28">
        <v>396.40594059405947</v>
      </c>
      <c r="L70" s="27">
        <f t="shared" si="23"/>
        <v>3.9640594059405946E-4</v>
      </c>
      <c r="M70" s="29">
        <f t="shared" si="24"/>
        <v>4.7762865441819992E-3</v>
      </c>
      <c r="N70" s="27">
        <f t="shared" si="25"/>
        <v>1.6702515811555228E-6</v>
      </c>
      <c r="O70" s="21">
        <f t="shared" si="26"/>
        <v>2.032E-3</v>
      </c>
      <c r="P70" s="21">
        <v>1.45111777225214E-10</v>
      </c>
      <c r="Q70" s="2">
        <v>0.32</v>
      </c>
      <c r="R70" s="27">
        <f t="shared" si="27"/>
        <v>132000</v>
      </c>
      <c r="S70" s="2">
        <v>5.3058450282772E-3</v>
      </c>
      <c r="T70" s="11">
        <v>0.11</v>
      </c>
      <c r="U70" s="30">
        <f t="shared" si="28"/>
        <v>111000.00000000001</v>
      </c>
      <c r="V70" s="30">
        <f t="shared" si="17"/>
        <v>44.001059405940609</v>
      </c>
      <c r="W70" s="11">
        <f t="shared" si="29"/>
        <v>901.31206795943092</v>
      </c>
      <c r="X70" s="27">
        <f t="shared" si="30"/>
        <v>6.7598663172282316E-14</v>
      </c>
      <c r="Y70" s="27">
        <f t="shared" si="31"/>
        <v>40707914962.348412</v>
      </c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</row>
    <row r="71" spans="1:76" s="4" customFormat="1" x14ac:dyDescent="0.3">
      <c r="A71" s="26">
        <v>207</v>
      </c>
      <c r="B71" s="26">
        <f t="shared" si="18"/>
        <v>3.45</v>
      </c>
      <c r="C71" s="26">
        <v>20</v>
      </c>
      <c r="D71" s="26">
        <f t="shared" si="16"/>
        <v>29.146000000000001</v>
      </c>
      <c r="E71" s="26">
        <f t="shared" si="19"/>
        <v>4.8576666666666667E-7</v>
      </c>
      <c r="F71" s="26">
        <v>21.1</v>
      </c>
      <c r="G71" s="26">
        <f t="shared" si="20"/>
        <v>294.10000000000002</v>
      </c>
      <c r="H71" s="26">
        <v>101.3</v>
      </c>
      <c r="I71" s="26">
        <f t="shared" si="21"/>
        <v>101300</v>
      </c>
      <c r="J71" s="26">
        <f t="shared" si="22"/>
        <v>2.0124824921938581E-5</v>
      </c>
      <c r="K71" s="28">
        <v>402.39603960396045</v>
      </c>
      <c r="L71" s="27">
        <f t="shared" si="23"/>
        <v>4.0239603960396043E-4</v>
      </c>
      <c r="M71" s="29">
        <f t="shared" si="24"/>
        <v>4.7762865441819992E-3</v>
      </c>
      <c r="N71" s="27">
        <f t="shared" si="25"/>
        <v>1.6954907900522704E-6</v>
      </c>
      <c r="O71" s="21">
        <f t="shared" si="26"/>
        <v>2.032E-3</v>
      </c>
      <c r="P71" s="21">
        <v>1.45111777225214E-10</v>
      </c>
      <c r="Q71" s="2">
        <v>0.32</v>
      </c>
      <c r="R71" s="27">
        <f t="shared" si="27"/>
        <v>132000</v>
      </c>
      <c r="S71" s="2">
        <v>5.3058450282772E-3</v>
      </c>
      <c r="T71" s="11">
        <v>0.11</v>
      </c>
      <c r="U71" s="30">
        <f t="shared" si="28"/>
        <v>111000.00000000001</v>
      </c>
      <c r="V71" s="30">
        <f t="shared" si="17"/>
        <v>44.665960396039615</v>
      </c>
      <c r="W71" s="11">
        <f t="shared" si="29"/>
        <v>925.69369057764322</v>
      </c>
      <c r="X71" s="27">
        <f t="shared" si="30"/>
        <v>6.8632912369965654E-14</v>
      </c>
      <c r="Y71" s="27">
        <f t="shared" si="31"/>
        <v>41330739829.193321</v>
      </c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</row>
    <row r="72" spans="1:76" s="4" customFormat="1" x14ac:dyDescent="0.3">
      <c r="A72" s="26">
        <v>210</v>
      </c>
      <c r="B72" s="26">
        <f t="shared" si="18"/>
        <v>3.5</v>
      </c>
      <c r="C72" s="26">
        <v>20</v>
      </c>
      <c r="D72" s="26">
        <f t="shared" si="16"/>
        <v>29.146000000000001</v>
      </c>
      <c r="E72" s="26">
        <f t="shared" si="19"/>
        <v>4.8576666666666667E-7</v>
      </c>
      <c r="F72" s="26">
        <v>21.1</v>
      </c>
      <c r="G72" s="26">
        <f t="shared" si="20"/>
        <v>294.10000000000002</v>
      </c>
      <c r="H72" s="26">
        <v>101.3</v>
      </c>
      <c r="I72" s="26">
        <f t="shared" si="21"/>
        <v>101300</v>
      </c>
      <c r="J72" s="26">
        <f t="shared" si="22"/>
        <v>2.0124824921938581E-5</v>
      </c>
      <c r="K72" s="28">
        <v>407.86633663366342</v>
      </c>
      <c r="L72" s="27">
        <f t="shared" si="23"/>
        <v>4.0786633663366344E-4</v>
      </c>
      <c r="M72" s="29">
        <f t="shared" si="24"/>
        <v>4.7762865441819992E-3</v>
      </c>
      <c r="N72" s="27">
        <f t="shared" si="25"/>
        <v>1.71853981966459E-6</v>
      </c>
      <c r="O72" s="21">
        <f t="shared" si="26"/>
        <v>2.032E-3</v>
      </c>
      <c r="P72" s="21">
        <v>1.45111777225214E-10</v>
      </c>
      <c r="Q72" s="2">
        <v>0.32</v>
      </c>
      <c r="R72" s="27">
        <f t="shared" si="27"/>
        <v>132000</v>
      </c>
      <c r="S72" s="2">
        <v>5.3058450282772E-3</v>
      </c>
      <c r="T72" s="11">
        <v>0.11</v>
      </c>
      <c r="U72" s="30">
        <f t="shared" si="28"/>
        <v>111000.00000000001</v>
      </c>
      <c r="V72" s="30">
        <f t="shared" si="17"/>
        <v>45.273163366336647</v>
      </c>
      <c r="W72" s="11">
        <f t="shared" si="29"/>
        <v>948.22387934958044</v>
      </c>
      <c r="X72" s="27">
        <f t="shared" si="30"/>
        <v>6.9577889197542496E-14</v>
      </c>
      <c r="Y72" s="27">
        <f t="shared" si="31"/>
        <v>41899804874.760094</v>
      </c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</row>
    <row r="73" spans="1:76" s="4" customFormat="1" x14ac:dyDescent="0.3">
      <c r="A73" s="26">
        <v>213</v>
      </c>
      <c r="B73" s="26">
        <f t="shared" si="18"/>
        <v>3.55</v>
      </c>
      <c r="C73" s="26">
        <v>20</v>
      </c>
      <c r="D73" s="26">
        <f t="shared" si="16"/>
        <v>29.146000000000001</v>
      </c>
      <c r="E73" s="26">
        <f t="shared" si="19"/>
        <v>4.8576666666666667E-7</v>
      </c>
      <c r="F73" s="26">
        <v>21.1</v>
      </c>
      <c r="G73" s="26">
        <f t="shared" si="20"/>
        <v>294.10000000000002</v>
      </c>
      <c r="H73" s="26">
        <v>101.3</v>
      </c>
      <c r="I73" s="26">
        <f t="shared" si="21"/>
        <v>101300</v>
      </c>
      <c r="J73" s="26">
        <f t="shared" si="22"/>
        <v>2.0124824921938581E-5</v>
      </c>
      <c r="K73" s="28">
        <v>398.8564356435644</v>
      </c>
      <c r="L73" s="27">
        <f t="shared" si="23"/>
        <v>3.9885643564356441E-4</v>
      </c>
      <c r="M73" s="29">
        <f t="shared" si="24"/>
        <v>4.7762865441819992E-3</v>
      </c>
      <c r="N73" s="27">
        <f t="shared" si="25"/>
        <v>1.6805767120678288E-6</v>
      </c>
      <c r="O73" s="21">
        <f t="shared" si="26"/>
        <v>2.032E-3</v>
      </c>
      <c r="P73" s="21">
        <v>1.45111777225214E-10</v>
      </c>
      <c r="Q73" s="2">
        <v>0.32</v>
      </c>
      <c r="R73" s="27">
        <f t="shared" si="27"/>
        <v>132000</v>
      </c>
      <c r="S73" s="2">
        <v>5.3058450282772E-3</v>
      </c>
      <c r="T73" s="11">
        <v>0.11</v>
      </c>
      <c r="U73" s="30">
        <f t="shared" si="28"/>
        <v>111000.00000000001</v>
      </c>
      <c r="V73" s="30">
        <f t="shared" si="17"/>
        <v>44.273064356435654</v>
      </c>
      <c r="W73" s="11">
        <f t="shared" si="29"/>
        <v>911.24977304540596</v>
      </c>
      <c r="X73" s="27">
        <f t="shared" si="30"/>
        <v>6.8021699626594174E-14</v>
      </c>
      <c r="Y73" s="27">
        <f t="shared" si="31"/>
        <v>40962667515.13501</v>
      </c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</row>
    <row r="74" spans="1:76" s="4" customFormat="1" x14ac:dyDescent="0.3">
      <c r="A74" s="26">
        <v>216</v>
      </c>
      <c r="B74" s="26">
        <f t="shared" si="18"/>
        <v>3.6</v>
      </c>
      <c r="C74" s="26">
        <v>20</v>
      </c>
      <c r="D74" s="26">
        <f t="shared" si="16"/>
        <v>29.146000000000001</v>
      </c>
      <c r="E74" s="26">
        <f t="shared" si="19"/>
        <v>4.8576666666666667E-7</v>
      </c>
      <c r="F74" s="26">
        <v>21.1</v>
      </c>
      <c r="G74" s="26">
        <f t="shared" si="20"/>
        <v>294.10000000000002</v>
      </c>
      <c r="H74" s="26">
        <v>101.3</v>
      </c>
      <c r="I74" s="26">
        <f t="shared" si="21"/>
        <v>101300</v>
      </c>
      <c r="J74" s="26">
        <f t="shared" si="22"/>
        <v>2.0124824921938581E-5</v>
      </c>
      <c r="K74" s="28">
        <v>407.69306930693074</v>
      </c>
      <c r="L74" s="27">
        <f t="shared" si="23"/>
        <v>4.0769306930693073E-4</v>
      </c>
      <c r="M74" s="29">
        <f t="shared" si="24"/>
        <v>4.7762865441819992E-3</v>
      </c>
      <c r="N74" s="27">
        <f t="shared" si="25"/>
        <v>1.7178097599031135E-6</v>
      </c>
      <c r="O74" s="21">
        <f t="shared" si="26"/>
        <v>2.032E-3</v>
      </c>
      <c r="P74" s="21">
        <v>1.45111777225214E-10</v>
      </c>
      <c r="Q74" s="2">
        <v>0.32</v>
      </c>
      <c r="R74" s="27">
        <f t="shared" si="27"/>
        <v>132000</v>
      </c>
      <c r="S74" s="2">
        <v>5.3058450282772E-3</v>
      </c>
      <c r="T74" s="11">
        <v>0.11</v>
      </c>
      <c r="U74" s="30">
        <f t="shared" si="28"/>
        <v>111000.00000000001</v>
      </c>
      <c r="V74" s="30">
        <f t="shared" si="17"/>
        <v>45.253930693069314</v>
      </c>
      <c r="W74" s="11">
        <f t="shared" si="29"/>
        <v>947.50638687876108</v>
      </c>
      <c r="X74" s="27">
        <f t="shared" si="30"/>
        <v>6.9547950770128886E-14</v>
      </c>
      <c r="Y74" s="27">
        <f t="shared" si="31"/>
        <v>41881775953.771614</v>
      </c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</row>
    <row r="75" spans="1:76" s="4" customFormat="1" x14ac:dyDescent="0.3">
      <c r="A75" s="26">
        <v>219</v>
      </c>
      <c r="B75" s="26">
        <f t="shared" si="18"/>
        <v>3.65</v>
      </c>
      <c r="C75" s="26">
        <v>20</v>
      </c>
      <c r="D75" s="26">
        <f t="shared" si="16"/>
        <v>29.146000000000001</v>
      </c>
      <c r="E75" s="26">
        <f t="shared" si="19"/>
        <v>4.8576666666666667E-7</v>
      </c>
      <c r="F75" s="26">
        <v>21.1</v>
      </c>
      <c r="G75" s="26">
        <f t="shared" si="20"/>
        <v>294.10000000000002</v>
      </c>
      <c r="H75" s="26">
        <v>101.3</v>
      </c>
      <c r="I75" s="26">
        <f t="shared" si="21"/>
        <v>101300</v>
      </c>
      <c r="J75" s="26">
        <f t="shared" si="22"/>
        <v>2.0124824921938581E-5</v>
      </c>
      <c r="K75" s="28">
        <v>405.49009900990103</v>
      </c>
      <c r="L75" s="27">
        <f t="shared" si="23"/>
        <v>4.0549009900990102E-4</v>
      </c>
      <c r="M75" s="29">
        <f t="shared" si="24"/>
        <v>4.7762865441819992E-3</v>
      </c>
      <c r="N75" s="27">
        <f t="shared" si="25"/>
        <v>1.7085275715072025E-6</v>
      </c>
      <c r="O75" s="21">
        <f t="shared" si="26"/>
        <v>2.032E-3</v>
      </c>
      <c r="P75" s="21">
        <v>1.45111777225214E-10</v>
      </c>
      <c r="Q75" s="2">
        <v>0.32</v>
      </c>
      <c r="R75" s="27">
        <f t="shared" si="27"/>
        <v>132000</v>
      </c>
      <c r="S75" s="2">
        <v>5.3058450282772E-3</v>
      </c>
      <c r="T75" s="11">
        <v>0.11</v>
      </c>
      <c r="U75" s="30">
        <f t="shared" si="28"/>
        <v>111000.00000000001</v>
      </c>
      <c r="V75" s="30">
        <f t="shared" si="17"/>
        <v>45.009400990099017</v>
      </c>
      <c r="W75" s="11">
        <f t="shared" si="29"/>
        <v>938.40603119582522</v>
      </c>
      <c r="X75" s="27">
        <f t="shared" si="30"/>
        <v>6.9167345264500153E-14</v>
      </c>
      <c r="Y75" s="27">
        <f t="shared" si="31"/>
        <v>41652575318.281998</v>
      </c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</row>
    <row r="76" spans="1:76" s="4" customFormat="1" x14ac:dyDescent="0.3">
      <c r="A76" s="26">
        <v>222</v>
      </c>
      <c r="B76" s="26">
        <f t="shared" si="18"/>
        <v>3.7</v>
      </c>
      <c r="C76" s="26">
        <v>20</v>
      </c>
      <c r="D76" s="26">
        <f t="shared" si="16"/>
        <v>29.146000000000001</v>
      </c>
      <c r="E76" s="26">
        <f t="shared" si="19"/>
        <v>4.8576666666666667E-7</v>
      </c>
      <c r="F76" s="26">
        <v>21.1</v>
      </c>
      <c r="G76" s="26">
        <f t="shared" si="20"/>
        <v>294.10000000000002</v>
      </c>
      <c r="H76" s="26">
        <v>101.3</v>
      </c>
      <c r="I76" s="26">
        <f t="shared" si="21"/>
        <v>101300</v>
      </c>
      <c r="J76" s="26">
        <f t="shared" si="22"/>
        <v>2.0124824921938581E-5</v>
      </c>
      <c r="K76" s="28">
        <v>410.16831683168323</v>
      </c>
      <c r="L76" s="27">
        <f t="shared" si="23"/>
        <v>4.1016831683168321E-4</v>
      </c>
      <c r="M76" s="29">
        <f t="shared" si="24"/>
        <v>4.7762865441819992E-3</v>
      </c>
      <c r="N76" s="27">
        <f t="shared" si="25"/>
        <v>1.7282391850670592E-6</v>
      </c>
      <c r="O76" s="21">
        <f t="shared" si="26"/>
        <v>2.032E-3</v>
      </c>
      <c r="P76" s="21">
        <v>1.45111777225214E-10</v>
      </c>
      <c r="Q76" s="2">
        <v>0.32</v>
      </c>
      <c r="R76" s="27">
        <f t="shared" si="27"/>
        <v>132000</v>
      </c>
      <c r="S76" s="2">
        <v>5.3058450282772E-3</v>
      </c>
      <c r="T76" s="11">
        <v>0.11</v>
      </c>
      <c r="U76" s="30">
        <f t="shared" si="28"/>
        <v>111000.00000000001</v>
      </c>
      <c r="V76" s="30">
        <f t="shared" si="17"/>
        <v>45.528683168316846</v>
      </c>
      <c r="W76" s="11">
        <f t="shared" si="29"/>
        <v>957.78027088293027</v>
      </c>
      <c r="X76" s="27">
        <f t="shared" si="30"/>
        <v>6.9975686513225385E-14</v>
      </c>
      <c r="Y76" s="27">
        <f t="shared" si="31"/>
        <v>42139358418.264328</v>
      </c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</row>
    <row r="77" spans="1:76" s="4" customFormat="1" x14ac:dyDescent="0.3">
      <c r="A77" s="26">
        <v>225</v>
      </c>
      <c r="B77" s="26">
        <f t="shared" si="18"/>
        <v>3.75</v>
      </c>
      <c r="C77" s="26">
        <v>20</v>
      </c>
      <c r="D77" s="26">
        <f t="shared" si="16"/>
        <v>29.146000000000001</v>
      </c>
      <c r="E77" s="26">
        <f t="shared" si="19"/>
        <v>4.8576666666666667E-7</v>
      </c>
      <c r="F77" s="26">
        <v>21.1</v>
      </c>
      <c r="G77" s="26">
        <f t="shared" si="20"/>
        <v>294.10000000000002</v>
      </c>
      <c r="H77" s="26">
        <v>101.3</v>
      </c>
      <c r="I77" s="26">
        <f t="shared" si="21"/>
        <v>101300</v>
      </c>
      <c r="J77" s="26">
        <f t="shared" si="22"/>
        <v>2.0124824921938581E-5</v>
      </c>
      <c r="K77" s="28">
        <v>428.60891089108912</v>
      </c>
      <c r="L77" s="27">
        <f t="shared" si="23"/>
        <v>4.2860891089108915E-4</v>
      </c>
      <c r="M77" s="29">
        <f t="shared" si="24"/>
        <v>4.7762865441819992E-3</v>
      </c>
      <c r="N77" s="27">
        <f t="shared" si="25"/>
        <v>1.805938402538452E-6</v>
      </c>
      <c r="O77" s="21">
        <f t="shared" si="26"/>
        <v>2.032E-3</v>
      </c>
      <c r="P77" s="21">
        <v>1.45111777225214E-10</v>
      </c>
      <c r="Q77" s="2">
        <v>0.32</v>
      </c>
      <c r="R77" s="27">
        <f t="shared" si="27"/>
        <v>132000</v>
      </c>
      <c r="S77" s="2">
        <v>5.3058450282772E-3</v>
      </c>
      <c r="T77" s="11">
        <v>0.11</v>
      </c>
      <c r="U77" s="30">
        <f t="shared" si="28"/>
        <v>111000.00000000001</v>
      </c>
      <c r="V77" s="30">
        <f t="shared" si="17"/>
        <v>47.575589108910904</v>
      </c>
      <c r="W77" s="11">
        <f t="shared" si="29"/>
        <v>1035.9423786955094</v>
      </c>
      <c r="X77" s="27">
        <f t="shared" si="30"/>
        <v>7.3165336112224765E-14</v>
      </c>
      <c r="Y77" s="27">
        <f t="shared" si="31"/>
        <v>44060165406.781754</v>
      </c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</row>
    <row r="78" spans="1:76" s="4" customFormat="1" x14ac:dyDescent="0.3">
      <c r="A78" s="26">
        <v>228</v>
      </c>
      <c r="B78" s="26">
        <f t="shared" si="18"/>
        <v>3.8</v>
      </c>
      <c r="C78" s="26">
        <v>20</v>
      </c>
      <c r="D78" s="26">
        <f t="shared" si="16"/>
        <v>29.146000000000001</v>
      </c>
      <c r="E78" s="26">
        <f t="shared" si="19"/>
        <v>4.8576666666666667E-7</v>
      </c>
      <c r="F78" s="26">
        <v>21.1</v>
      </c>
      <c r="G78" s="26">
        <f t="shared" si="20"/>
        <v>294.10000000000002</v>
      </c>
      <c r="H78" s="26">
        <v>101.3</v>
      </c>
      <c r="I78" s="26">
        <f t="shared" si="21"/>
        <v>101300</v>
      </c>
      <c r="J78" s="26">
        <f t="shared" si="22"/>
        <v>2.0124824921938581E-5</v>
      </c>
      <c r="K78" s="28">
        <v>418.5594059405941</v>
      </c>
      <c r="L78" s="27">
        <f t="shared" si="23"/>
        <v>4.1855940594059412E-4</v>
      </c>
      <c r="M78" s="29">
        <f t="shared" si="24"/>
        <v>4.7762865441819992E-3</v>
      </c>
      <c r="N78" s="27">
        <f t="shared" si="25"/>
        <v>1.7635949363728338E-6</v>
      </c>
      <c r="O78" s="21">
        <f t="shared" si="26"/>
        <v>2.032E-3</v>
      </c>
      <c r="P78" s="21">
        <v>1.45111777225214E-10</v>
      </c>
      <c r="Q78" s="2">
        <v>0.32</v>
      </c>
      <c r="R78" s="27">
        <f t="shared" si="27"/>
        <v>132000</v>
      </c>
      <c r="S78" s="2">
        <v>5.3058450282772E-3</v>
      </c>
      <c r="T78" s="11">
        <v>0.11</v>
      </c>
      <c r="U78" s="30">
        <f t="shared" si="28"/>
        <v>111000.00000000001</v>
      </c>
      <c r="V78" s="30">
        <f t="shared" si="17"/>
        <v>46.460094059405954</v>
      </c>
      <c r="W78" s="11">
        <f t="shared" si="29"/>
        <v>992.9923693918422</v>
      </c>
      <c r="X78" s="27">
        <f t="shared" si="30"/>
        <v>7.1426419046475607E-14</v>
      </c>
      <c r="Y78" s="27">
        <f t="shared" si="31"/>
        <v>43012989549.787613</v>
      </c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</row>
    <row r="79" spans="1:76" s="4" customFormat="1" x14ac:dyDescent="0.3">
      <c r="A79" s="26">
        <v>231</v>
      </c>
      <c r="B79" s="26">
        <f t="shared" si="18"/>
        <v>3.85</v>
      </c>
      <c r="C79" s="26">
        <v>20</v>
      </c>
      <c r="D79" s="26">
        <f t="shared" si="16"/>
        <v>29.146000000000001</v>
      </c>
      <c r="E79" s="26">
        <f t="shared" si="19"/>
        <v>4.8576666666666667E-7</v>
      </c>
      <c r="F79" s="26">
        <v>21.1</v>
      </c>
      <c r="G79" s="26">
        <f t="shared" si="20"/>
        <v>294.10000000000002</v>
      </c>
      <c r="H79" s="26">
        <v>101.3</v>
      </c>
      <c r="I79" s="26">
        <f t="shared" si="21"/>
        <v>101300</v>
      </c>
      <c r="J79" s="26">
        <f t="shared" si="22"/>
        <v>2.0124824921938581E-5</v>
      </c>
      <c r="K79" s="28">
        <v>424.64851485148517</v>
      </c>
      <c r="L79" s="27">
        <f t="shared" si="23"/>
        <v>4.2464851485148519E-4</v>
      </c>
      <c r="M79" s="29">
        <f t="shared" si="24"/>
        <v>4.7762865441819992E-3</v>
      </c>
      <c r="N79" s="27">
        <f t="shared" si="25"/>
        <v>1.7892513222761395E-6</v>
      </c>
      <c r="O79" s="21">
        <f t="shared" si="26"/>
        <v>2.032E-3</v>
      </c>
      <c r="P79" s="21">
        <v>1.45111777225214E-10</v>
      </c>
      <c r="Q79" s="2">
        <v>0.32</v>
      </c>
      <c r="R79" s="27">
        <f t="shared" si="27"/>
        <v>132000</v>
      </c>
      <c r="S79" s="2">
        <v>5.3058450282772E-3</v>
      </c>
      <c r="T79" s="11">
        <v>0.11</v>
      </c>
      <c r="U79" s="30">
        <f t="shared" si="28"/>
        <v>111000.00000000001</v>
      </c>
      <c r="V79" s="30">
        <f t="shared" si="17"/>
        <v>47.135985148514862</v>
      </c>
      <c r="W79" s="11">
        <f t="shared" si="29"/>
        <v>1018.9150496666624</v>
      </c>
      <c r="X79" s="27">
        <f t="shared" si="30"/>
        <v>7.2479856432988735E-14</v>
      </c>
      <c r="Y79" s="27">
        <f t="shared" si="31"/>
        <v>43647369543.945816</v>
      </c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</row>
    <row r="80" spans="1:76" s="4" customFormat="1" x14ac:dyDescent="0.3">
      <c r="A80" s="26">
        <v>234</v>
      </c>
      <c r="B80" s="26">
        <f t="shared" si="18"/>
        <v>3.9</v>
      </c>
      <c r="C80" s="26">
        <v>20</v>
      </c>
      <c r="D80" s="26">
        <f t="shared" si="16"/>
        <v>29.146000000000001</v>
      </c>
      <c r="E80" s="26">
        <f t="shared" si="19"/>
        <v>4.8576666666666667E-7</v>
      </c>
      <c r="F80" s="26">
        <v>21.1</v>
      </c>
      <c r="G80" s="26">
        <f t="shared" si="20"/>
        <v>294.10000000000002</v>
      </c>
      <c r="H80" s="26">
        <v>101.3</v>
      </c>
      <c r="I80" s="26">
        <f t="shared" si="21"/>
        <v>101300</v>
      </c>
      <c r="J80" s="26">
        <f t="shared" si="22"/>
        <v>2.0124824921938581E-5</v>
      </c>
      <c r="K80" s="28">
        <v>426.62871287128718</v>
      </c>
      <c r="L80" s="27">
        <f t="shared" si="23"/>
        <v>4.266287128712872E-4</v>
      </c>
      <c r="M80" s="29">
        <f t="shared" si="24"/>
        <v>4.7762865441819992E-3</v>
      </c>
      <c r="N80" s="27">
        <f t="shared" si="25"/>
        <v>1.7975948624072962E-6</v>
      </c>
      <c r="O80" s="21">
        <f t="shared" si="26"/>
        <v>2.032E-3</v>
      </c>
      <c r="P80" s="21">
        <v>1.45111777225214E-10</v>
      </c>
      <c r="Q80" s="2">
        <v>0.32</v>
      </c>
      <c r="R80" s="27">
        <f t="shared" si="27"/>
        <v>132000</v>
      </c>
      <c r="S80" s="2">
        <v>5.3058450282772E-3</v>
      </c>
      <c r="T80" s="11">
        <v>0.11</v>
      </c>
      <c r="U80" s="30">
        <f t="shared" si="28"/>
        <v>111000.00000000001</v>
      </c>
      <c r="V80" s="30">
        <f t="shared" si="17"/>
        <v>47.355787128712883</v>
      </c>
      <c r="W80" s="11">
        <f t="shared" si="29"/>
        <v>1027.4122650203983</v>
      </c>
      <c r="X80" s="27">
        <f t="shared" si="30"/>
        <v>7.2822564847385125E-14</v>
      </c>
      <c r="Y80" s="27">
        <f t="shared" si="31"/>
        <v>43853748551.095322</v>
      </c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</row>
    <row r="81" spans="1:76" s="4" customFormat="1" x14ac:dyDescent="0.3">
      <c r="A81" s="26">
        <v>237</v>
      </c>
      <c r="B81" s="26">
        <f t="shared" si="18"/>
        <v>3.95</v>
      </c>
      <c r="C81" s="26">
        <v>20</v>
      </c>
      <c r="D81" s="26">
        <f t="shared" si="16"/>
        <v>29.146000000000001</v>
      </c>
      <c r="E81" s="26">
        <f t="shared" si="19"/>
        <v>4.8576666666666667E-7</v>
      </c>
      <c r="F81" s="26">
        <v>21.1</v>
      </c>
      <c r="G81" s="26">
        <f t="shared" si="20"/>
        <v>294.10000000000002</v>
      </c>
      <c r="H81" s="26">
        <v>101.3</v>
      </c>
      <c r="I81" s="26">
        <f t="shared" si="21"/>
        <v>101300</v>
      </c>
      <c r="J81" s="26">
        <f t="shared" si="22"/>
        <v>2.0124824921938581E-5</v>
      </c>
      <c r="K81" s="28">
        <v>425.93564356435644</v>
      </c>
      <c r="L81" s="27">
        <f t="shared" si="23"/>
        <v>4.2593564356435644E-4</v>
      </c>
      <c r="M81" s="29">
        <f t="shared" si="24"/>
        <v>4.7762865441819992E-3</v>
      </c>
      <c r="N81" s="27">
        <f t="shared" si="25"/>
        <v>1.794674623361391E-6</v>
      </c>
      <c r="O81" s="21">
        <f t="shared" si="26"/>
        <v>2.032E-3</v>
      </c>
      <c r="P81" s="21">
        <v>1.45111777225214E-10</v>
      </c>
      <c r="Q81" s="2">
        <v>0.32</v>
      </c>
      <c r="R81" s="27">
        <f t="shared" si="27"/>
        <v>132000</v>
      </c>
      <c r="S81" s="2">
        <v>5.3058450282772E-3</v>
      </c>
      <c r="T81" s="11">
        <v>0.11</v>
      </c>
      <c r="U81" s="30">
        <f t="shared" si="28"/>
        <v>111000.00000000001</v>
      </c>
      <c r="V81" s="30">
        <f t="shared" si="17"/>
        <v>47.278856435643569</v>
      </c>
      <c r="W81" s="11">
        <f t="shared" si="29"/>
        <v>1024.4344967971583</v>
      </c>
      <c r="X81" s="27">
        <f t="shared" si="30"/>
        <v>7.2702609766586098E-14</v>
      </c>
      <c r="Y81" s="27">
        <f t="shared" si="31"/>
        <v>43781511601.438148</v>
      </c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</row>
    <row r="82" spans="1:76" s="4" customFormat="1" x14ac:dyDescent="0.3">
      <c r="A82" s="26">
        <v>240</v>
      </c>
      <c r="B82" s="26">
        <f t="shared" si="18"/>
        <v>4</v>
      </c>
      <c r="C82" s="26">
        <v>20</v>
      </c>
      <c r="D82" s="26">
        <f t="shared" si="16"/>
        <v>29.146000000000001</v>
      </c>
      <c r="E82" s="26">
        <f t="shared" si="19"/>
        <v>4.8576666666666667E-7</v>
      </c>
      <c r="F82" s="26">
        <v>21.1</v>
      </c>
      <c r="G82" s="26">
        <f t="shared" si="20"/>
        <v>294.10000000000002</v>
      </c>
      <c r="H82" s="26">
        <v>101.3</v>
      </c>
      <c r="I82" s="26">
        <f t="shared" si="21"/>
        <v>101300</v>
      </c>
      <c r="J82" s="26">
        <f t="shared" si="22"/>
        <v>2.0124824921938581E-5</v>
      </c>
      <c r="K82" s="28">
        <v>440.98514851485146</v>
      </c>
      <c r="L82" s="27">
        <f t="shared" si="23"/>
        <v>4.4098514851485148E-4</v>
      </c>
      <c r="M82" s="29">
        <f t="shared" si="24"/>
        <v>4.7762865441819992E-3</v>
      </c>
      <c r="N82" s="27">
        <f t="shared" si="25"/>
        <v>1.8580855283581787E-6</v>
      </c>
      <c r="O82" s="21">
        <f t="shared" si="26"/>
        <v>2.032E-3</v>
      </c>
      <c r="P82" s="21">
        <v>1.45111777225214E-10</v>
      </c>
      <c r="Q82" s="2">
        <v>0.32</v>
      </c>
      <c r="R82" s="27">
        <f t="shared" si="27"/>
        <v>132000</v>
      </c>
      <c r="S82" s="2">
        <v>5.3058450282772E-3</v>
      </c>
      <c r="T82" s="11">
        <v>0.11</v>
      </c>
      <c r="U82" s="30">
        <f t="shared" si="28"/>
        <v>111000.00000000001</v>
      </c>
      <c r="V82" s="30">
        <f t="shared" si="17"/>
        <v>48.949351485148519</v>
      </c>
      <c r="W82" s="11">
        <f t="shared" si="29"/>
        <v>1090.0001424121922</v>
      </c>
      <c r="X82" s="27">
        <f t="shared" si="30"/>
        <v>7.5309096887006266E-14</v>
      </c>
      <c r="Y82" s="27">
        <f t="shared" si="31"/>
        <v>45351138145.355179</v>
      </c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</row>
    <row r="83" spans="1:76" s="4" customFormat="1" x14ac:dyDescent="0.3">
      <c r="A83" s="26">
        <v>243</v>
      </c>
      <c r="B83" s="26">
        <f t="shared" ref="B83:B146" si="32">(A83/60)</f>
        <v>4.05</v>
      </c>
      <c r="C83" s="26">
        <v>20</v>
      </c>
      <c r="D83" s="26">
        <f t="shared" ref="D83:D146" si="33">(C83*1.4573)</f>
        <v>29.146000000000001</v>
      </c>
      <c r="E83" s="26">
        <f t="shared" ref="E83:E146" si="34">(D83/(1000000*60))</f>
        <v>4.8576666666666667E-7</v>
      </c>
      <c r="F83" s="26">
        <v>21.1</v>
      </c>
      <c r="G83" s="26">
        <f t="shared" ref="G83:G146" si="35">(273+F83)</f>
        <v>294.10000000000002</v>
      </c>
      <c r="H83" s="26">
        <v>101.3</v>
      </c>
      <c r="I83" s="26">
        <f t="shared" ref="I83:I146" si="36">(H83*1000)</f>
        <v>101300</v>
      </c>
      <c r="J83" s="26">
        <f t="shared" ref="J83:J146" si="37">((I83*E83)/(8.314*G83))</f>
        <v>2.0124824921938581E-5</v>
      </c>
      <c r="K83" s="14">
        <v>436.0594059405941</v>
      </c>
      <c r="L83" s="27">
        <f t="shared" ref="L83:L146" si="38">(K83/1000000)</f>
        <v>4.3605940594059411E-4</v>
      </c>
      <c r="M83" s="29">
        <f t="shared" si="24"/>
        <v>4.7762865441819992E-3</v>
      </c>
      <c r="N83" s="27">
        <f t="shared" ref="N83:N146" si="39">(L83*J83)/M83</f>
        <v>1.8373309722819278E-6</v>
      </c>
      <c r="O83" s="21">
        <f t="shared" si="26"/>
        <v>2.032E-3</v>
      </c>
      <c r="P83" s="21">
        <v>1.45111777225214E-10</v>
      </c>
      <c r="Q83" s="2">
        <v>0.32</v>
      </c>
      <c r="R83" s="27">
        <f t="shared" ref="R83:R146" si="40">(1+Q83)*100000*1</f>
        <v>132000</v>
      </c>
      <c r="S83" s="2">
        <v>5.3058450282772E-3</v>
      </c>
      <c r="T83" s="11">
        <v>0.11</v>
      </c>
      <c r="U83" s="30">
        <f t="shared" ref="U83:U146" si="41">(1+T83)*100000</f>
        <v>111000.00000000001</v>
      </c>
      <c r="V83" s="30">
        <f t="shared" ref="V83:V146" si="42">(L83*U83)</f>
        <v>48.402594059405949</v>
      </c>
      <c r="W83" s="11">
        <f t="shared" ref="W83:W146" si="43">((N83*O83/P83) + SQRT(V83))^2</f>
        <v>1068.3314606316342</v>
      </c>
      <c r="X83" s="27">
        <f t="shared" ref="X83:X146" si="44">(N83*S83)/(R83-W83)</f>
        <v>7.4455580634799481E-14</v>
      </c>
      <c r="Y83" s="27">
        <f t="shared" ref="Y83:Y146" si="45">(X83*6.022E+23)</f>
        <v>44837150658.276253</v>
      </c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</row>
    <row r="84" spans="1:76" s="4" customFormat="1" x14ac:dyDescent="0.3">
      <c r="A84" s="26">
        <v>246</v>
      </c>
      <c r="B84" s="26">
        <f t="shared" si="32"/>
        <v>4.0999999999999996</v>
      </c>
      <c r="C84" s="26">
        <v>20</v>
      </c>
      <c r="D84" s="26">
        <f t="shared" si="33"/>
        <v>29.146000000000001</v>
      </c>
      <c r="E84" s="26">
        <f t="shared" si="34"/>
        <v>4.8576666666666667E-7</v>
      </c>
      <c r="F84" s="26">
        <v>21.1</v>
      </c>
      <c r="G84" s="26">
        <f t="shared" si="35"/>
        <v>294.10000000000002</v>
      </c>
      <c r="H84" s="26">
        <v>101.3</v>
      </c>
      <c r="I84" s="26">
        <f t="shared" si="36"/>
        <v>101300</v>
      </c>
      <c r="J84" s="26">
        <f t="shared" si="37"/>
        <v>2.0124824921938581E-5</v>
      </c>
      <c r="K84" s="14">
        <v>438.11386138613864</v>
      </c>
      <c r="L84" s="27">
        <f t="shared" si="38"/>
        <v>4.3811386138613864E-4</v>
      </c>
      <c r="M84" s="29">
        <f t="shared" si="24"/>
        <v>4.7762865441819992E-3</v>
      </c>
      <c r="N84" s="27">
        <f t="shared" si="39"/>
        <v>1.8459873951680023E-6</v>
      </c>
      <c r="O84" s="21">
        <f t="shared" si="26"/>
        <v>2.032E-3</v>
      </c>
      <c r="P84" s="21">
        <v>1.45111777225214E-10</v>
      </c>
      <c r="Q84" s="2">
        <v>0.32</v>
      </c>
      <c r="R84" s="27">
        <f t="shared" si="40"/>
        <v>132000</v>
      </c>
      <c r="S84" s="2">
        <v>5.3058450282772E-3</v>
      </c>
      <c r="T84" s="11">
        <v>0.11</v>
      </c>
      <c r="U84" s="30">
        <f t="shared" si="41"/>
        <v>111000.00000000001</v>
      </c>
      <c r="V84" s="30">
        <f t="shared" si="42"/>
        <v>48.630638613861393</v>
      </c>
      <c r="W84" s="11">
        <f t="shared" si="43"/>
        <v>1077.3444631649711</v>
      </c>
      <c r="X84" s="27">
        <f t="shared" si="44"/>
        <v>7.4811521373081525E-14</v>
      </c>
      <c r="Y84" s="27">
        <f t="shared" si="45"/>
        <v>45051498170.869698</v>
      </c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</row>
    <row r="85" spans="1:76" s="4" customFormat="1" x14ac:dyDescent="0.3">
      <c r="A85" s="26">
        <v>249</v>
      </c>
      <c r="B85" s="26">
        <f t="shared" si="32"/>
        <v>4.1500000000000004</v>
      </c>
      <c r="C85" s="26">
        <v>20</v>
      </c>
      <c r="D85" s="26">
        <f t="shared" si="33"/>
        <v>29.146000000000001</v>
      </c>
      <c r="E85" s="26">
        <f t="shared" si="34"/>
        <v>4.8576666666666667E-7</v>
      </c>
      <c r="F85" s="26">
        <v>21.1</v>
      </c>
      <c r="G85" s="26">
        <f t="shared" si="35"/>
        <v>294.10000000000002</v>
      </c>
      <c r="H85" s="26">
        <v>101.3</v>
      </c>
      <c r="I85" s="26">
        <f t="shared" si="36"/>
        <v>101300</v>
      </c>
      <c r="J85" s="26">
        <f t="shared" si="37"/>
        <v>2.0124824921938581E-5</v>
      </c>
      <c r="K85" s="14">
        <v>441.67821782178225</v>
      </c>
      <c r="L85" s="27">
        <f t="shared" si="38"/>
        <v>4.4167821782178224E-4</v>
      </c>
      <c r="M85" s="29">
        <f t="shared" si="24"/>
        <v>4.7762865441819992E-3</v>
      </c>
      <c r="N85" s="27">
        <f t="shared" si="39"/>
        <v>1.8610057674040837E-6</v>
      </c>
      <c r="O85" s="21">
        <f t="shared" si="26"/>
        <v>2.032E-3</v>
      </c>
      <c r="P85" s="21">
        <v>1.45111777225214E-10</v>
      </c>
      <c r="Q85" s="2">
        <v>0.32</v>
      </c>
      <c r="R85" s="27">
        <f t="shared" si="40"/>
        <v>132000</v>
      </c>
      <c r="S85" s="2">
        <v>5.3058450282772E-3</v>
      </c>
      <c r="T85" s="11">
        <v>0.11</v>
      </c>
      <c r="U85" s="30">
        <f t="shared" si="41"/>
        <v>111000.00000000001</v>
      </c>
      <c r="V85" s="30">
        <f t="shared" si="42"/>
        <v>49.026282178217834</v>
      </c>
      <c r="W85" s="11">
        <f t="shared" si="43"/>
        <v>1093.0652970018225</v>
      </c>
      <c r="X85" s="27">
        <f t="shared" si="44"/>
        <v>7.5429221690804758E-14</v>
      </c>
      <c r="Y85" s="27">
        <f t="shared" si="45"/>
        <v>45423477302.202629</v>
      </c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</row>
    <row r="86" spans="1:76" s="4" customFormat="1" x14ac:dyDescent="0.3">
      <c r="A86" s="26">
        <v>252</v>
      </c>
      <c r="B86" s="26">
        <f t="shared" si="32"/>
        <v>4.2</v>
      </c>
      <c r="C86" s="26">
        <v>20</v>
      </c>
      <c r="D86" s="26">
        <f t="shared" si="33"/>
        <v>29.146000000000001</v>
      </c>
      <c r="E86" s="26">
        <f t="shared" si="34"/>
        <v>4.8576666666666667E-7</v>
      </c>
      <c r="F86" s="26">
        <v>21.1</v>
      </c>
      <c r="G86" s="26">
        <f t="shared" si="35"/>
        <v>294.10000000000002</v>
      </c>
      <c r="H86" s="26">
        <v>101.3</v>
      </c>
      <c r="I86" s="26">
        <f t="shared" si="36"/>
        <v>101300</v>
      </c>
      <c r="J86" s="26">
        <f t="shared" si="37"/>
        <v>2.0124824921938581E-5</v>
      </c>
      <c r="K86" s="14">
        <v>443.11386138613869</v>
      </c>
      <c r="L86" s="27">
        <f t="shared" si="38"/>
        <v>4.4311386138613871E-4</v>
      </c>
      <c r="M86" s="29">
        <f t="shared" si="24"/>
        <v>4.7762865441819992E-3</v>
      </c>
      <c r="N86" s="27">
        <f t="shared" si="39"/>
        <v>1.8670548339991722E-6</v>
      </c>
      <c r="O86" s="21">
        <f t="shared" si="26"/>
        <v>2.032E-3</v>
      </c>
      <c r="P86" s="21">
        <v>1.45111777225214E-10</v>
      </c>
      <c r="Q86" s="2">
        <v>0.32</v>
      </c>
      <c r="R86" s="27">
        <f t="shared" si="40"/>
        <v>132000</v>
      </c>
      <c r="S86" s="2">
        <v>5.3058450282772E-3</v>
      </c>
      <c r="T86" s="11">
        <v>0.11</v>
      </c>
      <c r="U86" s="30">
        <f t="shared" si="41"/>
        <v>111000.00000000001</v>
      </c>
      <c r="V86" s="30">
        <f t="shared" si="42"/>
        <v>49.1856386138614</v>
      </c>
      <c r="W86" s="11">
        <f t="shared" si="43"/>
        <v>1099.4273277715813</v>
      </c>
      <c r="X86" s="27">
        <f t="shared" si="44"/>
        <v>7.5678076927138773E-14</v>
      </c>
      <c r="Y86" s="27">
        <f t="shared" si="45"/>
        <v>45573337925.522972</v>
      </c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</row>
    <row r="87" spans="1:76" s="4" customFormat="1" x14ac:dyDescent="0.3">
      <c r="A87" s="26">
        <v>255</v>
      </c>
      <c r="B87" s="26">
        <f t="shared" si="32"/>
        <v>4.25</v>
      </c>
      <c r="C87" s="26">
        <v>20</v>
      </c>
      <c r="D87" s="26">
        <f t="shared" si="33"/>
        <v>29.146000000000001</v>
      </c>
      <c r="E87" s="26">
        <f t="shared" si="34"/>
        <v>4.8576666666666667E-7</v>
      </c>
      <c r="F87" s="26">
        <v>21.1</v>
      </c>
      <c r="G87" s="26">
        <f t="shared" si="35"/>
        <v>294.10000000000002</v>
      </c>
      <c r="H87" s="26">
        <v>101.3</v>
      </c>
      <c r="I87" s="26">
        <f t="shared" si="36"/>
        <v>101300</v>
      </c>
      <c r="J87" s="26">
        <f t="shared" si="37"/>
        <v>2.0124824921938581E-5</v>
      </c>
      <c r="K87" s="14">
        <v>444.05445544554459</v>
      </c>
      <c r="L87" s="27">
        <f t="shared" si="38"/>
        <v>4.440544554455446E-4</v>
      </c>
      <c r="M87" s="29">
        <f t="shared" si="24"/>
        <v>4.7762865441819992E-3</v>
      </c>
      <c r="N87" s="27">
        <f t="shared" si="39"/>
        <v>1.871018015561471E-6</v>
      </c>
      <c r="O87" s="21">
        <f t="shared" si="26"/>
        <v>2.032E-3</v>
      </c>
      <c r="P87" s="21">
        <v>1.45111777225214E-10</v>
      </c>
      <c r="Q87" s="2">
        <v>0.32</v>
      </c>
      <c r="R87" s="27">
        <f t="shared" si="40"/>
        <v>132000</v>
      </c>
      <c r="S87" s="2">
        <v>5.3058450282772E-3</v>
      </c>
      <c r="T87" s="11">
        <v>0.11</v>
      </c>
      <c r="U87" s="30">
        <f t="shared" si="41"/>
        <v>111000.00000000001</v>
      </c>
      <c r="V87" s="30">
        <f t="shared" si="42"/>
        <v>49.290044554455456</v>
      </c>
      <c r="W87" s="11">
        <f t="shared" si="43"/>
        <v>1103.6049011824416</v>
      </c>
      <c r="X87" s="27">
        <f t="shared" si="44"/>
        <v>7.5841138544644152E-14</v>
      </c>
      <c r="Y87" s="27">
        <f t="shared" si="45"/>
        <v>45671533631.584709</v>
      </c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</row>
    <row r="88" spans="1:76" s="4" customFormat="1" x14ac:dyDescent="0.3">
      <c r="A88" s="26">
        <v>258</v>
      </c>
      <c r="B88" s="26">
        <f t="shared" si="32"/>
        <v>4.3</v>
      </c>
      <c r="C88" s="26">
        <v>20</v>
      </c>
      <c r="D88" s="26">
        <f t="shared" si="33"/>
        <v>29.146000000000001</v>
      </c>
      <c r="E88" s="26">
        <f t="shared" si="34"/>
        <v>4.8576666666666667E-7</v>
      </c>
      <c r="F88" s="26">
        <v>21.1</v>
      </c>
      <c r="G88" s="26">
        <f t="shared" si="35"/>
        <v>294.10000000000002</v>
      </c>
      <c r="H88" s="26">
        <v>101.3</v>
      </c>
      <c r="I88" s="26">
        <f t="shared" si="36"/>
        <v>101300</v>
      </c>
      <c r="J88" s="26">
        <f t="shared" si="37"/>
        <v>2.0124824921938581E-5</v>
      </c>
      <c r="K88" s="14">
        <v>435.39108910891093</v>
      </c>
      <c r="L88" s="27">
        <f t="shared" si="38"/>
        <v>4.3539108910891093E-4</v>
      </c>
      <c r="M88" s="29">
        <f t="shared" si="24"/>
        <v>4.7762865441819992E-3</v>
      </c>
      <c r="N88" s="27">
        <f t="shared" si="39"/>
        <v>1.8345150274876624E-6</v>
      </c>
      <c r="O88" s="21">
        <f t="shared" si="26"/>
        <v>2.032E-3</v>
      </c>
      <c r="P88" s="21">
        <v>1.45111777225214E-10</v>
      </c>
      <c r="Q88" s="2">
        <v>0.32</v>
      </c>
      <c r="R88" s="27">
        <f t="shared" si="40"/>
        <v>132000</v>
      </c>
      <c r="S88" s="2">
        <v>5.3058450282772E-3</v>
      </c>
      <c r="T88" s="11">
        <v>0.11</v>
      </c>
      <c r="U88" s="30">
        <f t="shared" si="41"/>
        <v>111000.00000000001</v>
      </c>
      <c r="V88" s="30">
        <f t="shared" si="42"/>
        <v>48.328410891089121</v>
      </c>
      <c r="W88" s="11">
        <f t="shared" si="43"/>
        <v>1065.4071386843493</v>
      </c>
      <c r="X88" s="27">
        <f t="shared" si="44"/>
        <v>7.4339807572510594E-14</v>
      </c>
      <c r="Y88" s="27">
        <f t="shared" si="45"/>
        <v>44767432120.165878</v>
      </c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</row>
    <row r="89" spans="1:76" s="4" customFormat="1" x14ac:dyDescent="0.3">
      <c r="A89" s="26">
        <v>261</v>
      </c>
      <c r="B89" s="26">
        <f t="shared" si="32"/>
        <v>4.3499999999999996</v>
      </c>
      <c r="C89" s="26">
        <v>20</v>
      </c>
      <c r="D89" s="26">
        <f t="shared" si="33"/>
        <v>29.146000000000001</v>
      </c>
      <c r="E89" s="26">
        <f t="shared" si="34"/>
        <v>4.8576666666666667E-7</v>
      </c>
      <c r="F89" s="26">
        <v>21.1</v>
      </c>
      <c r="G89" s="26">
        <f t="shared" si="35"/>
        <v>294.10000000000002</v>
      </c>
      <c r="H89" s="26">
        <v>101.3</v>
      </c>
      <c r="I89" s="26">
        <f t="shared" si="36"/>
        <v>101300</v>
      </c>
      <c r="J89" s="26">
        <f t="shared" si="37"/>
        <v>2.0124824921938581E-5</v>
      </c>
      <c r="K89" s="14">
        <v>437.22277227722776</v>
      </c>
      <c r="L89" s="27">
        <f t="shared" si="38"/>
        <v>4.3722277227722776E-4</v>
      </c>
      <c r="M89" s="29">
        <f t="shared" si="24"/>
        <v>4.7762865441819992E-3</v>
      </c>
      <c r="N89" s="27">
        <f t="shared" si="39"/>
        <v>1.8422328021089821E-6</v>
      </c>
      <c r="O89" s="21">
        <f t="shared" si="26"/>
        <v>2.032E-3</v>
      </c>
      <c r="P89" s="21">
        <v>1.45111777225214E-10</v>
      </c>
      <c r="Q89" s="2">
        <v>0.32</v>
      </c>
      <c r="R89" s="27">
        <f t="shared" si="40"/>
        <v>132000</v>
      </c>
      <c r="S89" s="2">
        <v>5.3058450282772E-3</v>
      </c>
      <c r="T89" s="11">
        <v>0.11</v>
      </c>
      <c r="U89" s="30">
        <f t="shared" si="41"/>
        <v>111000.00000000001</v>
      </c>
      <c r="V89" s="30">
        <f t="shared" si="42"/>
        <v>48.531727722772288</v>
      </c>
      <c r="W89" s="11">
        <f t="shared" si="43"/>
        <v>1073.4308692516436</v>
      </c>
      <c r="X89" s="27">
        <f t="shared" si="44"/>
        <v>7.4657128945598675E-14</v>
      </c>
      <c r="Y89" s="27">
        <f t="shared" si="45"/>
        <v>44958523051.039528</v>
      </c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</row>
    <row r="90" spans="1:76" s="4" customFormat="1" x14ac:dyDescent="0.3">
      <c r="A90" s="26">
        <v>264</v>
      </c>
      <c r="B90" s="26">
        <f t="shared" si="32"/>
        <v>4.4000000000000004</v>
      </c>
      <c r="C90" s="26">
        <v>20</v>
      </c>
      <c r="D90" s="26">
        <f t="shared" si="33"/>
        <v>29.146000000000001</v>
      </c>
      <c r="E90" s="26">
        <f t="shared" si="34"/>
        <v>4.8576666666666667E-7</v>
      </c>
      <c r="F90" s="26">
        <v>21.1</v>
      </c>
      <c r="G90" s="26">
        <f t="shared" si="35"/>
        <v>294.10000000000002</v>
      </c>
      <c r="H90" s="26">
        <v>101.3</v>
      </c>
      <c r="I90" s="26">
        <f t="shared" si="36"/>
        <v>101300</v>
      </c>
      <c r="J90" s="26">
        <f t="shared" si="37"/>
        <v>2.0124824921938581E-5</v>
      </c>
      <c r="K90" s="14">
        <v>443.88118811881191</v>
      </c>
      <c r="L90" s="27">
        <f t="shared" si="38"/>
        <v>4.438811881188119E-4</v>
      </c>
      <c r="M90" s="29">
        <f t="shared" si="24"/>
        <v>4.7762865441819992E-3</v>
      </c>
      <c r="N90" s="27">
        <f t="shared" si="39"/>
        <v>1.870287955799995E-6</v>
      </c>
      <c r="O90" s="21">
        <f t="shared" si="26"/>
        <v>2.032E-3</v>
      </c>
      <c r="P90" s="21">
        <v>1.45111777225214E-10</v>
      </c>
      <c r="Q90" s="2">
        <v>0.32</v>
      </c>
      <c r="R90" s="27">
        <f t="shared" si="40"/>
        <v>132000</v>
      </c>
      <c r="S90" s="2">
        <v>5.3058450282772E-3</v>
      </c>
      <c r="T90" s="11">
        <v>0.11</v>
      </c>
      <c r="U90" s="30">
        <f t="shared" si="41"/>
        <v>111000.00000000001</v>
      </c>
      <c r="V90" s="30">
        <f t="shared" si="42"/>
        <v>49.270811881188131</v>
      </c>
      <c r="W90" s="11">
        <f t="shared" si="43"/>
        <v>1102.8347922982055</v>
      </c>
      <c r="X90" s="27">
        <f t="shared" si="44"/>
        <v>7.5811099774254311E-14</v>
      </c>
      <c r="Y90" s="27">
        <f t="shared" si="45"/>
        <v>45653444284.055946</v>
      </c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</row>
    <row r="91" spans="1:76" s="4" customFormat="1" x14ac:dyDescent="0.3">
      <c r="A91" s="26">
        <v>267</v>
      </c>
      <c r="B91" s="26">
        <f t="shared" si="32"/>
        <v>4.45</v>
      </c>
      <c r="C91" s="26">
        <v>20</v>
      </c>
      <c r="D91" s="26">
        <f t="shared" si="33"/>
        <v>29.146000000000001</v>
      </c>
      <c r="E91" s="26">
        <f t="shared" si="34"/>
        <v>4.8576666666666667E-7</v>
      </c>
      <c r="F91" s="26">
        <v>21.1</v>
      </c>
      <c r="G91" s="26">
        <f t="shared" si="35"/>
        <v>294.10000000000002</v>
      </c>
      <c r="H91" s="26">
        <v>101.3</v>
      </c>
      <c r="I91" s="26">
        <f t="shared" si="36"/>
        <v>101300</v>
      </c>
      <c r="J91" s="26">
        <f t="shared" si="37"/>
        <v>2.0124824921938581E-5</v>
      </c>
      <c r="K91" s="14">
        <v>430.88613861386142</v>
      </c>
      <c r="L91" s="27">
        <f t="shared" si="38"/>
        <v>4.3088613861386144E-4</v>
      </c>
      <c r="M91" s="29">
        <f t="shared" si="24"/>
        <v>4.7762865441819992E-3</v>
      </c>
      <c r="N91" s="27">
        <f t="shared" si="39"/>
        <v>1.815533473689282E-6</v>
      </c>
      <c r="O91" s="21">
        <f t="shared" si="26"/>
        <v>2.032E-3</v>
      </c>
      <c r="P91" s="21">
        <v>1.45111777225214E-10</v>
      </c>
      <c r="Q91" s="2">
        <v>0.32</v>
      </c>
      <c r="R91" s="27">
        <f t="shared" si="40"/>
        <v>132000</v>
      </c>
      <c r="S91" s="2">
        <v>5.3058450282772E-3</v>
      </c>
      <c r="T91" s="11">
        <v>0.11</v>
      </c>
      <c r="U91" s="30">
        <f t="shared" si="41"/>
        <v>111000.00000000001</v>
      </c>
      <c r="V91" s="30">
        <f t="shared" si="42"/>
        <v>47.828361386138624</v>
      </c>
      <c r="W91" s="11">
        <f t="shared" si="43"/>
        <v>1045.7926631715291</v>
      </c>
      <c r="X91" s="27">
        <f t="shared" si="44"/>
        <v>7.3559601107493576E-14</v>
      </c>
      <c r="Y91" s="27">
        <f t="shared" si="45"/>
        <v>44297591786.932632</v>
      </c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</row>
    <row r="92" spans="1:76" s="4" customFormat="1" x14ac:dyDescent="0.3">
      <c r="A92" s="26">
        <v>270</v>
      </c>
      <c r="B92" s="26">
        <f t="shared" si="32"/>
        <v>4.5</v>
      </c>
      <c r="C92" s="26">
        <v>20</v>
      </c>
      <c r="D92" s="26">
        <f t="shared" si="33"/>
        <v>29.146000000000001</v>
      </c>
      <c r="E92" s="26">
        <f t="shared" si="34"/>
        <v>4.8576666666666667E-7</v>
      </c>
      <c r="F92" s="26">
        <v>21.1</v>
      </c>
      <c r="G92" s="26">
        <f t="shared" si="35"/>
        <v>294.10000000000002</v>
      </c>
      <c r="H92" s="26">
        <v>101.3</v>
      </c>
      <c r="I92" s="26">
        <f t="shared" si="36"/>
        <v>101300</v>
      </c>
      <c r="J92" s="26">
        <f t="shared" si="37"/>
        <v>2.0124824921938581E-5</v>
      </c>
      <c r="K92" s="20">
        <v>448.83168316831683</v>
      </c>
      <c r="L92" s="27">
        <f t="shared" si="38"/>
        <v>4.4883168316831685E-4</v>
      </c>
      <c r="M92" s="29">
        <f t="shared" si="24"/>
        <v>4.7762865441819992E-3</v>
      </c>
      <c r="N92" s="27">
        <f t="shared" si="39"/>
        <v>1.8911468061278858E-6</v>
      </c>
      <c r="O92" s="21">
        <f t="shared" si="26"/>
        <v>2.032E-3</v>
      </c>
      <c r="P92" s="21">
        <v>1.45111777225214E-10</v>
      </c>
      <c r="Q92" s="2">
        <v>0.32</v>
      </c>
      <c r="R92" s="27">
        <f t="shared" si="40"/>
        <v>132000</v>
      </c>
      <c r="S92" s="2">
        <v>5.3058450282772E-3</v>
      </c>
      <c r="T92" s="11">
        <v>0.11</v>
      </c>
      <c r="U92" s="30">
        <f t="shared" si="41"/>
        <v>111000.00000000001</v>
      </c>
      <c r="V92" s="30">
        <f t="shared" si="42"/>
        <v>49.820316831683179</v>
      </c>
      <c r="W92" s="11">
        <f t="shared" si="43"/>
        <v>1124.9367492476119</v>
      </c>
      <c r="X92" s="9">
        <f t="shared" si="44"/>
        <v>7.6669547504331502E-14</v>
      </c>
      <c r="Y92" s="9">
        <f t="shared" si="45"/>
        <v>46170401507.108429</v>
      </c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</row>
    <row r="93" spans="1:76" s="4" customFormat="1" x14ac:dyDescent="0.3">
      <c r="A93" s="26">
        <v>273</v>
      </c>
      <c r="B93" s="26">
        <f t="shared" si="32"/>
        <v>4.55</v>
      </c>
      <c r="C93" s="26">
        <v>20</v>
      </c>
      <c r="D93" s="26">
        <f t="shared" si="33"/>
        <v>29.146000000000001</v>
      </c>
      <c r="E93" s="26">
        <f t="shared" si="34"/>
        <v>4.8576666666666667E-7</v>
      </c>
      <c r="F93" s="26">
        <v>21.1</v>
      </c>
      <c r="G93" s="26">
        <f t="shared" si="35"/>
        <v>294.10000000000002</v>
      </c>
      <c r="H93" s="26">
        <v>101.3</v>
      </c>
      <c r="I93" s="26">
        <f t="shared" si="36"/>
        <v>101300</v>
      </c>
      <c r="J93" s="26">
        <f t="shared" si="37"/>
        <v>2.0124824921938581E-5</v>
      </c>
      <c r="K93" s="20">
        <v>448.60891089108912</v>
      </c>
      <c r="L93" s="27">
        <f t="shared" si="38"/>
        <v>4.4860891089108914E-4</v>
      </c>
      <c r="M93" s="29">
        <f t="shared" si="24"/>
        <v>4.7762865441819992E-3</v>
      </c>
      <c r="N93" s="27">
        <f t="shared" si="39"/>
        <v>1.8902081578631306E-6</v>
      </c>
      <c r="O93" s="21">
        <f t="shared" si="26"/>
        <v>2.032E-3</v>
      </c>
      <c r="P93" s="21">
        <v>1.45111777225214E-10</v>
      </c>
      <c r="Q93" s="2">
        <v>0.32</v>
      </c>
      <c r="R93" s="27">
        <f t="shared" si="40"/>
        <v>132000</v>
      </c>
      <c r="S93" s="2">
        <v>5.3058450282772E-3</v>
      </c>
      <c r="T93" s="11">
        <v>0.11</v>
      </c>
      <c r="U93" s="30">
        <f t="shared" si="41"/>
        <v>111000.00000000001</v>
      </c>
      <c r="V93" s="30">
        <f t="shared" si="42"/>
        <v>49.795589108910903</v>
      </c>
      <c r="W93" s="11">
        <f t="shared" si="43"/>
        <v>1123.9377604600836</v>
      </c>
      <c r="X93" s="9">
        <f t="shared" si="44"/>
        <v>7.6630908549578262E-14</v>
      </c>
      <c r="Y93" s="9">
        <f t="shared" si="45"/>
        <v>46147133128.55603</v>
      </c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</row>
    <row r="94" spans="1:76" s="4" customFormat="1" x14ac:dyDescent="0.3">
      <c r="A94" s="26">
        <v>276</v>
      </c>
      <c r="B94" s="26">
        <f t="shared" si="32"/>
        <v>4.5999999999999996</v>
      </c>
      <c r="C94" s="26">
        <v>20</v>
      </c>
      <c r="D94" s="26">
        <f t="shared" si="33"/>
        <v>29.146000000000001</v>
      </c>
      <c r="E94" s="26">
        <f t="shared" si="34"/>
        <v>4.8576666666666667E-7</v>
      </c>
      <c r="F94" s="26">
        <v>21.1</v>
      </c>
      <c r="G94" s="26">
        <f t="shared" si="35"/>
        <v>294.10000000000002</v>
      </c>
      <c r="H94" s="26">
        <v>101.3</v>
      </c>
      <c r="I94" s="26">
        <f t="shared" si="36"/>
        <v>101300</v>
      </c>
      <c r="J94" s="26">
        <f t="shared" si="37"/>
        <v>2.0124824921938581E-5</v>
      </c>
      <c r="K94" s="20">
        <v>460.86138613861391</v>
      </c>
      <c r="L94" s="27">
        <f t="shared" si="38"/>
        <v>4.6086138613861389E-4</v>
      </c>
      <c r="M94" s="29">
        <f t="shared" si="24"/>
        <v>4.7762865441819992E-3</v>
      </c>
      <c r="N94" s="27">
        <f t="shared" si="39"/>
        <v>1.94183381242466E-6</v>
      </c>
      <c r="O94" s="21">
        <f t="shared" si="26"/>
        <v>2.032E-3</v>
      </c>
      <c r="P94" s="21">
        <v>1.45111777225214E-10</v>
      </c>
      <c r="Q94" s="2">
        <v>0.32</v>
      </c>
      <c r="R94" s="27">
        <f t="shared" si="40"/>
        <v>132000</v>
      </c>
      <c r="S94" s="2">
        <v>5.3058450282772E-3</v>
      </c>
      <c r="T94" s="11">
        <v>0.11</v>
      </c>
      <c r="U94" s="30">
        <f t="shared" si="41"/>
        <v>111000.00000000001</v>
      </c>
      <c r="V94" s="30">
        <f t="shared" si="42"/>
        <v>51.155613861386151</v>
      </c>
      <c r="W94" s="11">
        <f t="shared" si="43"/>
        <v>1179.4973717418197</v>
      </c>
      <c r="X94" s="9">
        <f t="shared" si="44"/>
        <v>7.8757297766018558E-14</v>
      </c>
      <c r="Y94" s="9">
        <f t="shared" si="45"/>
        <v>47427644714.696381</v>
      </c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</row>
    <row r="95" spans="1:76" s="4" customFormat="1" x14ac:dyDescent="0.3">
      <c r="A95" s="26">
        <v>279</v>
      </c>
      <c r="B95" s="26">
        <f t="shared" si="32"/>
        <v>4.6500000000000004</v>
      </c>
      <c r="C95" s="26">
        <v>20</v>
      </c>
      <c r="D95" s="26">
        <f t="shared" si="33"/>
        <v>29.146000000000001</v>
      </c>
      <c r="E95" s="26">
        <f t="shared" si="34"/>
        <v>4.8576666666666667E-7</v>
      </c>
      <c r="F95" s="26">
        <v>21.1</v>
      </c>
      <c r="G95" s="26">
        <f t="shared" si="35"/>
        <v>294.10000000000002</v>
      </c>
      <c r="H95" s="26">
        <v>101.3</v>
      </c>
      <c r="I95" s="26">
        <f t="shared" si="36"/>
        <v>101300</v>
      </c>
      <c r="J95" s="26">
        <f t="shared" si="37"/>
        <v>2.0124824921938581E-5</v>
      </c>
      <c r="K95" s="20">
        <v>470.46534653465352</v>
      </c>
      <c r="L95" s="27">
        <f t="shared" si="38"/>
        <v>4.704653465346535E-4</v>
      </c>
      <c r="M95" s="29">
        <f t="shared" si="24"/>
        <v>4.7762865441819992E-3</v>
      </c>
      <c r="N95" s="27">
        <f t="shared" si="39"/>
        <v>1.982299982060768E-6</v>
      </c>
      <c r="O95" s="21">
        <f t="shared" si="26"/>
        <v>2.032E-3</v>
      </c>
      <c r="P95" s="21">
        <v>1.45111777225214E-10</v>
      </c>
      <c r="Q95" s="2">
        <v>0.32</v>
      </c>
      <c r="R95" s="27">
        <f t="shared" si="40"/>
        <v>132000</v>
      </c>
      <c r="S95" s="2">
        <v>5.3058450282772E-3</v>
      </c>
      <c r="T95" s="11">
        <v>0.11</v>
      </c>
      <c r="U95" s="30">
        <f t="shared" si="41"/>
        <v>111000.00000000001</v>
      </c>
      <c r="V95" s="30">
        <f t="shared" si="42"/>
        <v>52.221653465346549</v>
      </c>
      <c r="W95" s="11">
        <f t="shared" si="43"/>
        <v>1223.9221533435802</v>
      </c>
      <c r="X95" s="9">
        <f t="shared" si="44"/>
        <v>8.0425844524133039E-14</v>
      </c>
      <c r="Y95" s="9">
        <f t="shared" si="45"/>
        <v>48432443572.432915</v>
      </c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</row>
    <row r="96" spans="1:76" s="4" customFormat="1" x14ac:dyDescent="0.3">
      <c r="A96" s="26">
        <v>282</v>
      </c>
      <c r="B96" s="26">
        <f t="shared" si="32"/>
        <v>4.7</v>
      </c>
      <c r="C96" s="26">
        <v>20</v>
      </c>
      <c r="D96" s="26">
        <f t="shared" si="33"/>
        <v>29.146000000000001</v>
      </c>
      <c r="E96" s="26">
        <f t="shared" si="34"/>
        <v>4.8576666666666667E-7</v>
      </c>
      <c r="F96" s="26">
        <v>21.1</v>
      </c>
      <c r="G96" s="26">
        <f t="shared" si="35"/>
        <v>294.10000000000002</v>
      </c>
      <c r="H96" s="26">
        <v>101.3</v>
      </c>
      <c r="I96" s="26">
        <f t="shared" si="36"/>
        <v>101300</v>
      </c>
      <c r="J96" s="26">
        <f t="shared" si="37"/>
        <v>2.0124824921938581E-5</v>
      </c>
      <c r="K96" s="20">
        <v>443.78217821782175</v>
      </c>
      <c r="L96" s="27">
        <f t="shared" si="38"/>
        <v>4.4378217821782173E-4</v>
      </c>
      <c r="M96" s="29">
        <f t="shared" si="24"/>
        <v>4.7762865441819992E-3</v>
      </c>
      <c r="N96" s="27">
        <f t="shared" si="39"/>
        <v>1.8698707787934369E-6</v>
      </c>
      <c r="O96" s="21">
        <f t="shared" si="26"/>
        <v>2.032E-3</v>
      </c>
      <c r="P96" s="21">
        <v>1.45111777225214E-10</v>
      </c>
      <c r="Q96" s="2">
        <v>0.32</v>
      </c>
      <c r="R96" s="27">
        <f t="shared" si="40"/>
        <v>132000</v>
      </c>
      <c r="S96" s="2">
        <v>5.3058450282772E-3</v>
      </c>
      <c r="T96" s="11">
        <v>0.11</v>
      </c>
      <c r="U96" s="30">
        <f t="shared" si="41"/>
        <v>111000.00000000001</v>
      </c>
      <c r="V96" s="30">
        <f t="shared" si="42"/>
        <v>49.259821782178221</v>
      </c>
      <c r="W96" s="11">
        <f t="shared" si="43"/>
        <v>1102.3948427884209</v>
      </c>
      <c r="X96" s="9">
        <f t="shared" si="44"/>
        <v>7.5793934986559063E-14</v>
      </c>
      <c r="Y96" s="9">
        <f t="shared" si="45"/>
        <v>45643107648.905869</v>
      </c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</row>
    <row r="97" spans="1:76" s="4" customFormat="1" x14ac:dyDescent="0.3">
      <c r="A97" s="26">
        <v>285</v>
      </c>
      <c r="B97" s="26">
        <f t="shared" si="32"/>
        <v>4.75</v>
      </c>
      <c r="C97" s="26">
        <v>20</v>
      </c>
      <c r="D97" s="26">
        <f t="shared" si="33"/>
        <v>29.146000000000001</v>
      </c>
      <c r="E97" s="26">
        <f t="shared" si="34"/>
        <v>4.8576666666666667E-7</v>
      </c>
      <c r="F97" s="26">
        <v>21.1</v>
      </c>
      <c r="G97" s="26">
        <f t="shared" si="35"/>
        <v>294.10000000000002</v>
      </c>
      <c r="H97" s="26">
        <v>101.3</v>
      </c>
      <c r="I97" s="26">
        <f t="shared" si="36"/>
        <v>101300</v>
      </c>
      <c r="J97" s="26">
        <f t="shared" si="37"/>
        <v>2.0124824921938581E-5</v>
      </c>
      <c r="K97" s="20">
        <v>447.99009900990103</v>
      </c>
      <c r="L97" s="27">
        <f t="shared" si="38"/>
        <v>4.4799009900990103E-4</v>
      </c>
      <c r="M97" s="29">
        <f t="shared" si="24"/>
        <v>4.7762865441819992E-3</v>
      </c>
      <c r="N97" s="27">
        <f t="shared" si="39"/>
        <v>1.8876008015721445E-6</v>
      </c>
      <c r="O97" s="21">
        <f t="shared" si="26"/>
        <v>2.032E-3</v>
      </c>
      <c r="P97" s="21">
        <v>1.45111777225214E-10</v>
      </c>
      <c r="Q97" s="2">
        <v>0.32</v>
      </c>
      <c r="R97" s="27">
        <f t="shared" si="40"/>
        <v>132000</v>
      </c>
      <c r="S97" s="2">
        <v>5.3058450282772E-3</v>
      </c>
      <c r="T97" s="11">
        <v>0.11</v>
      </c>
      <c r="U97" s="30">
        <f t="shared" si="41"/>
        <v>111000.00000000001</v>
      </c>
      <c r="V97" s="30">
        <f t="shared" si="42"/>
        <v>49.726900990099018</v>
      </c>
      <c r="W97" s="11">
        <f t="shared" si="43"/>
        <v>1121.1649670920212</v>
      </c>
      <c r="X97" s="9">
        <f t="shared" si="44"/>
        <v>7.6523582486621191E-14</v>
      </c>
      <c r="Y97" s="9">
        <f t="shared" si="45"/>
        <v>46082501373.443283</v>
      </c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</row>
    <row r="98" spans="1:76" s="4" customFormat="1" x14ac:dyDescent="0.3">
      <c r="A98" s="26">
        <v>288</v>
      </c>
      <c r="B98" s="26">
        <f t="shared" si="32"/>
        <v>4.8</v>
      </c>
      <c r="C98" s="26">
        <v>20</v>
      </c>
      <c r="D98" s="26">
        <f t="shared" si="33"/>
        <v>29.146000000000001</v>
      </c>
      <c r="E98" s="26">
        <f t="shared" si="34"/>
        <v>4.8576666666666667E-7</v>
      </c>
      <c r="F98" s="26">
        <v>21.1</v>
      </c>
      <c r="G98" s="26">
        <f t="shared" si="35"/>
        <v>294.10000000000002</v>
      </c>
      <c r="H98" s="26">
        <v>101.3</v>
      </c>
      <c r="I98" s="26">
        <f t="shared" si="36"/>
        <v>101300</v>
      </c>
      <c r="J98" s="26">
        <f t="shared" si="37"/>
        <v>2.0124824921938581E-5</v>
      </c>
      <c r="K98" s="20">
        <v>450.86138613861391</v>
      </c>
      <c r="L98" s="27">
        <f t="shared" si="38"/>
        <v>4.5086138613861391E-4</v>
      </c>
      <c r="M98" s="29">
        <f t="shared" si="24"/>
        <v>4.7762865441819992E-3</v>
      </c>
      <c r="N98" s="27">
        <f t="shared" si="39"/>
        <v>1.8996989347623211E-6</v>
      </c>
      <c r="O98" s="21">
        <f t="shared" si="26"/>
        <v>2.032E-3</v>
      </c>
      <c r="P98" s="21">
        <v>1.45111777225214E-10</v>
      </c>
      <c r="Q98" s="2">
        <v>0.32</v>
      </c>
      <c r="R98" s="27">
        <f t="shared" si="40"/>
        <v>132000</v>
      </c>
      <c r="S98" s="2">
        <v>5.3058450282772E-3</v>
      </c>
      <c r="T98" s="11">
        <v>0.11</v>
      </c>
      <c r="U98" s="30">
        <f t="shared" si="41"/>
        <v>111000.00000000001</v>
      </c>
      <c r="V98" s="30">
        <f t="shared" si="42"/>
        <v>50.045613861386151</v>
      </c>
      <c r="W98" s="11">
        <f t="shared" si="43"/>
        <v>1134.057741909357</v>
      </c>
      <c r="X98" s="9">
        <f t="shared" si="44"/>
        <v>7.7021629725124301E-14</v>
      </c>
      <c r="Y98" s="9">
        <f t="shared" si="45"/>
        <v>46382425420.469856</v>
      </c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</row>
    <row r="99" spans="1:76" s="4" customFormat="1" x14ac:dyDescent="0.3">
      <c r="A99" s="26">
        <v>291</v>
      </c>
      <c r="B99" s="26">
        <f t="shared" si="32"/>
        <v>4.8499999999999996</v>
      </c>
      <c r="C99" s="26">
        <v>20</v>
      </c>
      <c r="D99" s="26">
        <f t="shared" si="33"/>
        <v>29.146000000000001</v>
      </c>
      <c r="E99" s="26">
        <f t="shared" si="34"/>
        <v>4.8576666666666667E-7</v>
      </c>
      <c r="F99" s="26">
        <v>21.1</v>
      </c>
      <c r="G99" s="26">
        <f t="shared" si="35"/>
        <v>294.10000000000002</v>
      </c>
      <c r="H99" s="26">
        <v>101.3</v>
      </c>
      <c r="I99" s="26">
        <f t="shared" si="36"/>
        <v>101300</v>
      </c>
      <c r="J99" s="26">
        <f t="shared" si="37"/>
        <v>2.0124824921938581E-5</v>
      </c>
      <c r="K99" s="20">
        <v>454.57425742574259</v>
      </c>
      <c r="L99" s="27">
        <f t="shared" si="38"/>
        <v>4.5457425742574258E-4</v>
      </c>
      <c r="M99" s="29">
        <f t="shared" si="24"/>
        <v>4.7762865441819992E-3</v>
      </c>
      <c r="N99" s="27">
        <f t="shared" si="39"/>
        <v>1.9153430725082389E-6</v>
      </c>
      <c r="O99" s="21">
        <f t="shared" si="26"/>
        <v>2.032E-3</v>
      </c>
      <c r="P99" s="21">
        <v>1.45111777225214E-10</v>
      </c>
      <c r="Q99" s="2">
        <v>0.32</v>
      </c>
      <c r="R99" s="27">
        <f t="shared" si="40"/>
        <v>132000</v>
      </c>
      <c r="S99" s="2">
        <v>5.3058450282772E-3</v>
      </c>
      <c r="T99" s="11">
        <v>0.11</v>
      </c>
      <c r="U99" s="30">
        <f t="shared" si="41"/>
        <v>111000.00000000001</v>
      </c>
      <c r="V99" s="30">
        <f t="shared" si="42"/>
        <v>50.457742574257431</v>
      </c>
      <c r="W99" s="11">
        <f t="shared" si="43"/>
        <v>1150.8315030786009</v>
      </c>
      <c r="X99" s="9">
        <f t="shared" si="44"/>
        <v>7.7665862423513368E-14</v>
      </c>
      <c r="Y99" s="9">
        <f t="shared" si="45"/>
        <v>46770382351.439751</v>
      </c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</row>
    <row r="100" spans="1:76" s="4" customFormat="1" x14ac:dyDescent="0.3">
      <c r="A100" s="26">
        <v>294</v>
      </c>
      <c r="B100" s="26">
        <f t="shared" si="32"/>
        <v>4.9000000000000004</v>
      </c>
      <c r="C100" s="26">
        <v>20</v>
      </c>
      <c r="D100" s="26">
        <f t="shared" si="33"/>
        <v>29.146000000000001</v>
      </c>
      <c r="E100" s="26">
        <f t="shared" si="34"/>
        <v>4.8576666666666667E-7</v>
      </c>
      <c r="F100" s="26">
        <v>21.1</v>
      </c>
      <c r="G100" s="26">
        <f t="shared" si="35"/>
        <v>294.10000000000002</v>
      </c>
      <c r="H100" s="26">
        <v>101.3</v>
      </c>
      <c r="I100" s="26">
        <f t="shared" si="36"/>
        <v>101300</v>
      </c>
      <c r="J100" s="26">
        <f t="shared" si="37"/>
        <v>2.0124824921938581E-5</v>
      </c>
      <c r="K100" s="20">
        <v>448.16336633663371</v>
      </c>
      <c r="L100" s="27">
        <f t="shared" si="38"/>
        <v>4.4816336633663373E-4</v>
      </c>
      <c r="M100" s="29">
        <f t="shared" si="24"/>
        <v>4.7762865441819992E-3</v>
      </c>
      <c r="N100" s="27">
        <f t="shared" si="39"/>
        <v>1.8883308613336205E-6</v>
      </c>
      <c r="O100" s="21">
        <f t="shared" si="26"/>
        <v>2.032E-3</v>
      </c>
      <c r="P100" s="21">
        <v>1.45111777225214E-10</v>
      </c>
      <c r="Q100" s="2">
        <v>0.32</v>
      </c>
      <c r="R100" s="27">
        <f t="shared" si="40"/>
        <v>132000</v>
      </c>
      <c r="S100" s="2">
        <v>5.3058450282772E-3</v>
      </c>
      <c r="T100" s="11">
        <v>0.11</v>
      </c>
      <c r="U100" s="30">
        <f t="shared" si="41"/>
        <v>111000.00000000001</v>
      </c>
      <c r="V100" s="30">
        <f t="shared" si="42"/>
        <v>49.746133663366351</v>
      </c>
      <c r="W100" s="11">
        <f t="shared" si="43"/>
        <v>1121.9410267378937</v>
      </c>
      <c r="X100" s="9">
        <f t="shared" si="44"/>
        <v>7.6553633137211154E-14</v>
      </c>
      <c r="Y100" s="9">
        <f t="shared" si="45"/>
        <v>46100597875.228561</v>
      </c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</row>
    <row r="101" spans="1:76" s="4" customFormat="1" x14ac:dyDescent="0.3">
      <c r="A101" s="26">
        <v>297</v>
      </c>
      <c r="B101" s="26">
        <f t="shared" si="32"/>
        <v>4.95</v>
      </c>
      <c r="C101" s="26">
        <v>20</v>
      </c>
      <c r="D101" s="26">
        <f t="shared" si="33"/>
        <v>29.146000000000001</v>
      </c>
      <c r="E101" s="26">
        <f t="shared" si="34"/>
        <v>4.8576666666666667E-7</v>
      </c>
      <c r="F101" s="26">
        <v>21.1</v>
      </c>
      <c r="G101" s="26">
        <f t="shared" si="35"/>
        <v>294.10000000000002</v>
      </c>
      <c r="H101" s="26">
        <v>101.3</v>
      </c>
      <c r="I101" s="26">
        <f t="shared" si="36"/>
        <v>101300</v>
      </c>
      <c r="J101" s="26">
        <f t="shared" si="37"/>
        <v>2.0124824921938581E-5</v>
      </c>
      <c r="K101" s="20">
        <v>463.7574257425743</v>
      </c>
      <c r="L101" s="27">
        <f t="shared" si="38"/>
        <v>4.637574257425743E-4</v>
      </c>
      <c r="M101" s="29">
        <f t="shared" si="24"/>
        <v>4.7762865441819992E-3</v>
      </c>
      <c r="N101" s="27">
        <f t="shared" si="39"/>
        <v>1.9540362398664763E-6</v>
      </c>
      <c r="O101" s="21">
        <f t="shared" si="26"/>
        <v>2.032E-3</v>
      </c>
      <c r="P101" s="21">
        <v>1.45111777225214E-10</v>
      </c>
      <c r="Q101" s="2">
        <v>0.32</v>
      </c>
      <c r="R101" s="27">
        <f t="shared" si="40"/>
        <v>132000</v>
      </c>
      <c r="S101" s="2">
        <v>5.3058450282772E-3</v>
      </c>
      <c r="T101" s="11">
        <v>0.11</v>
      </c>
      <c r="U101" s="30">
        <f t="shared" si="41"/>
        <v>111000.00000000001</v>
      </c>
      <c r="V101" s="30">
        <f t="shared" si="42"/>
        <v>51.477074257425755</v>
      </c>
      <c r="W101" s="11">
        <f t="shared" si="43"/>
        <v>1192.8125963459456</v>
      </c>
      <c r="X101" s="9">
        <f t="shared" si="44"/>
        <v>7.9260273645172772E-14</v>
      </c>
      <c r="Y101" s="9">
        <f t="shared" si="45"/>
        <v>47730536789.123047</v>
      </c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</row>
    <row r="102" spans="1:76" s="4" customFormat="1" x14ac:dyDescent="0.3">
      <c r="A102" s="26">
        <v>300</v>
      </c>
      <c r="B102" s="26">
        <f t="shared" si="32"/>
        <v>5</v>
      </c>
      <c r="C102" s="26">
        <v>20</v>
      </c>
      <c r="D102" s="26">
        <f t="shared" si="33"/>
        <v>29.146000000000001</v>
      </c>
      <c r="E102" s="26">
        <f t="shared" si="34"/>
        <v>4.8576666666666667E-7</v>
      </c>
      <c r="F102" s="26">
        <v>21.1</v>
      </c>
      <c r="G102" s="26">
        <f t="shared" si="35"/>
        <v>294.10000000000002</v>
      </c>
      <c r="H102" s="26">
        <v>101.3</v>
      </c>
      <c r="I102" s="26">
        <f t="shared" si="36"/>
        <v>101300</v>
      </c>
      <c r="J102" s="26">
        <f t="shared" si="37"/>
        <v>2.0124824921938581E-5</v>
      </c>
      <c r="K102" s="20">
        <v>453.60891089108912</v>
      </c>
      <c r="L102" s="27">
        <f t="shared" si="38"/>
        <v>4.536089108910891E-4</v>
      </c>
      <c r="M102" s="29">
        <f t="shared" si="24"/>
        <v>4.7762865441819992E-3</v>
      </c>
      <c r="N102" s="27">
        <f t="shared" si="39"/>
        <v>1.9112755966943E-6</v>
      </c>
      <c r="O102" s="21">
        <f t="shared" si="26"/>
        <v>2.032E-3</v>
      </c>
      <c r="P102" s="21">
        <v>1.45111777225214E-10</v>
      </c>
      <c r="Q102" s="2">
        <v>0.32</v>
      </c>
      <c r="R102" s="27">
        <f t="shared" si="40"/>
        <v>132000</v>
      </c>
      <c r="S102" s="2">
        <v>5.3058450282772E-3</v>
      </c>
      <c r="T102" s="11">
        <v>0.11</v>
      </c>
      <c r="U102" s="30">
        <f t="shared" si="41"/>
        <v>111000.00000000001</v>
      </c>
      <c r="V102" s="30">
        <f t="shared" si="42"/>
        <v>50.350589108910896</v>
      </c>
      <c r="W102" s="11">
        <f t="shared" si="43"/>
        <v>1146.4592548209719</v>
      </c>
      <c r="X102" s="9">
        <f t="shared" si="44"/>
        <v>7.7498339476622893E-14</v>
      </c>
      <c r="Y102" s="9">
        <f t="shared" si="45"/>
        <v>46669500032.822311</v>
      </c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</row>
    <row r="103" spans="1:76" s="4" customFormat="1" x14ac:dyDescent="0.3">
      <c r="A103" s="26">
        <v>303</v>
      </c>
      <c r="B103" s="26">
        <f t="shared" si="32"/>
        <v>5.05</v>
      </c>
      <c r="C103" s="26">
        <v>20</v>
      </c>
      <c r="D103" s="26">
        <f t="shared" si="33"/>
        <v>29.146000000000001</v>
      </c>
      <c r="E103" s="26">
        <f t="shared" si="34"/>
        <v>4.8576666666666667E-7</v>
      </c>
      <c r="F103" s="26">
        <v>21.1</v>
      </c>
      <c r="G103" s="26">
        <f t="shared" si="35"/>
        <v>294.10000000000002</v>
      </c>
      <c r="H103" s="26">
        <v>101.3</v>
      </c>
      <c r="I103" s="26">
        <f t="shared" si="36"/>
        <v>101300</v>
      </c>
      <c r="J103" s="26">
        <f t="shared" si="37"/>
        <v>2.0124824921938581E-5</v>
      </c>
      <c r="K103" s="20">
        <v>463.95544554455449</v>
      </c>
      <c r="L103" s="27">
        <f t="shared" si="38"/>
        <v>4.6395544554455448E-4</v>
      </c>
      <c r="M103" s="29">
        <f t="shared" si="24"/>
        <v>4.7762865441819992E-3</v>
      </c>
      <c r="N103" s="27">
        <f t="shared" si="39"/>
        <v>1.9548705938795921E-6</v>
      </c>
      <c r="O103" s="21">
        <f t="shared" si="26"/>
        <v>2.032E-3</v>
      </c>
      <c r="P103" s="21">
        <v>1.45111777225214E-10</v>
      </c>
      <c r="Q103" s="2">
        <v>0.32</v>
      </c>
      <c r="R103" s="27">
        <f t="shared" si="40"/>
        <v>132000</v>
      </c>
      <c r="S103" s="2">
        <v>5.3058450282772E-3</v>
      </c>
      <c r="T103" s="11">
        <v>0.11</v>
      </c>
      <c r="U103" s="30">
        <f t="shared" si="41"/>
        <v>111000.00000000001</v>
      </c>
      <c r="V103" s="30">
        <f t="shared" si="42"/>
        <v>51.499054455445552</v>
      </c>
      <c r="W103" s="11">
        <f t="shared" si="43"/>
        <v>1193.7255917712059</v>
      </c>
      <c r="X103" s="9">
        <f t="shared" si="44"/>
        <v>7.9294670445937189E-14</v>
      </c>
      <c r="Y103" s="9">
        <f t="shared" si="45"/>
        <v>47751250542.543381</v>
      </c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</row>
    <row r="104" spans="1:76" s="4" customFormat="1" x14ac:dyDescent="0.3">
      <c r="A104" s="26">
        <v>306</v>
      </c>
      <c r="B104" s="26">
        <f t="shared" si="32"/>
        <v>5.0999999999999996</v>
      </c>
      <c r="C104" s="26">
        <v>20</v>
      </c>
      <c r="D104" s="26">
        <f t="shared" si="33"/>
        <v>29.146000000000001</v>
      </c>
      <c r="E104" s="26">
        <f t="shared" si="34"/>
        <v>4.8576666666666667E-7</v>
      </c>
      <c r="F104" s="26">
        <v>21.1</v>
      </c>
      <c r="G104" s="26">
        <f t="shared" si="35"/>
        <v>294.10000000000002</v>
      </c>
      <c r="H104" s="26">
        <v>101.3</v>
      </c>
      <c r="I104" s="26">
        <f t="shared" si="36"/>
        <v>101300</v>
      </c>
      <c r="J104" s="26">
        <f t="shared" si="37"/>
        <v>2.0124824921938581E-5</v>
      </c>
      <c r="K104" s="20">
        <v>462.19801980198019</v>
      </c>
      <c r="L104" s="27">
        <f t="shared" si="38"/>
        <v>4.6219801980198019E-4</v>
      </c>
      <c r="M104" s="29">
        <f t="shared" si="24"/>
        <v>4.7762865441819992E-3</v>
      </c>
      <c r="N104" s="27">
        <f t="shared" si="39"/>
        <v>1.9474657020131903E-6</v>
      </c>
      <c r="O104" s="21">
        <f t="shared" si="26"/>
        <v>2.032E-3</v>
      </c>
      <c r="P104" s="21">
        <v>1.45111777225214E-10</v>
      </c>
      <c r="Q104" s="2">
        <v>0.32</v>
      </c>
      <c r="R104" s="27">
        <f t="shared" si="40"/>
        <v>132000</v>
      </c>
      <c r="S104" s="2">
        <v>5.3058450282772E-3</v>
      </c>
      <c r="T104" s="11">
        <v>0.11</v>
      </c>
      <c r="U104" s="30">
        <f t="shared" si="41"/>
        <v>111000.00000000001</v>
      </c>
      <c r="V104" s="30">
        <f t="shared" si="42"/>
        <v>51.303980198019808</v>
      </c>
      <c r="W104" s="11">
        <f t="shared" si="43"/>
        <v>1185.6341747720753</v>
      </c>
      <c r="X104" s="9">
        <f t="shared" si="44"/>
        <v>7.8989422511684973E-14</v>
      </c>
      <c r="Y104" s="9">
        <f t="shared" si="45"/>
        <v>47567430236.53669</v>
      </c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</row>
    <row r="105" spans="1:76" s="4" customFormat="1" x14ac:dyDescent="0.3">
      <c r="A105" s="26">
        <v>309</v>
      </c>
      <c r="B105" s="26">
        <f t="shared" si="32"/>
        <v>5.15</v>
      </c>
      <c r="C105" s="26">
        <v>20</v>
      </c>
      <c r="D105" s="26">
        <f t="shared" si="33"/>
        <v>29.146000000000001</v>
      </c>
      <c r="E105" s="26">
        <f t="shared" si="34"/>
        <v>4.8576666666666667E-7</v>
      </c>
      <c r="F105" s="26">
        <v>21.1</v>
      </c>
      <c r="G105" s="26">
        <f t="shared" si="35"/>
        <v>294.10000000000002</v>
      </c>
      <c r="H105" s="26">
        <v>101.3</v>
      </c>
      <c r="I105" s="26">
        <f t="shared" si="36"/>
        <v>101300</v>
      </c>
      <c r="J105" s="26">
        <f t="shared" si="37"/>
        <v>2.0124824921938581E-5</v>
      </c>
      <c r="K105" s="20">
        <v>453.43564356435644</v>
      </c>
      <c r="L105" s="27">
        <f t="shared" si="38"/>
        <v>4.5343564356435645E-4</v>
      </c>
      <c r="M105" s="29">
        <f t="shared" si="24"/>
        <v>4.7762865441819992E-3</v>
      </c>
      <c r="N105" s="27">
        <f t="shared" si="39"/>
        <v>1.910545536932824E-6</v>
      </c>
      <c r="O105" s="21">
        <f t="shared" si="26"/>
        <v>2.032E-3</v>
      </c>
      <c r="P105" s="21">
        <v>1.45111777225214E-10</v>
      </c>
      <c r="Q105" s="2">
        <v>0.32</v>
      </c>
      <c r="R105" s="27">
        <f t="shared" si="40"/>
        <v>132000</v>
      </c>
      <c r="S105" s="2">
        <v>5.3058450282772E-3</v>
      </c>
      <c r="T105" s="11">
        <v>0.11</v>
      </c>
      <c r="U105" s="30">
        <f t="shared" si="41"/>
        <v>111000.00000000001</v>
      </c>
      <c r="V105" s="30">
        <f t="shared" si="42"/>
        <v>50.331356435643571</v>
      </c>
      <c r="W105" s="11">
        <f t="shared" si="43"/>
        <v>1145.6753156196814</v>
      </c>
      <c r="X105" s="9">
        <f t="shared" si="44"/>
        <v>7.7468272927797605E-14</v>
      </c>
      <c r="Y105" s="9">
        <f t="shared" si="45"/>
        <v>46651393957.11972</v>
      </c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</row>
    <row r="106" spans="1:76" s="4" customFormat="1" x14ac:dyDescent="0.3">
      <c r="A106" s="26">
        <v>312</v>
      </c>
      <c r="B106" s="26">
        <f t="shared" si="32"/>
        <v>5.2</v>
      </c>
      <c r="C106" s="26">
        <v>20</v>
      </c>
      <c r="D106" s="26">
        <f t="shared" si="33"/>
        <v>29.146000000000001</v>
      </c>
      <c r="E106" s="26">
        <f t="shared" si="34"/>
        <v>4.8576666666666667E-7</v>
      </c>
      <c r="F106" s="26">
        <v>21.1</v>
      </c>
      <c r="G106" s="26">
        <f t="shared" si="35"/>
        <v>294.10000000000002</v>
      </c>
      <c r="H106" s="26">
        <v>101.3</v>
      </c>
      <c r="I106" s="26">
        <f t="shared" si="36"/>
        <v>101300</v>
      </c>
      <c r="J106" s="26">
        <f t="shared" si="37"/>
        <v>2.0124824921938581E-5</v>
      </c>
      <c r="K106" s="20">
        <v>455.78712871287138</v>
      </c>
      <c r="L106" s="27">
        <f t="shared" si="38"/>
        <v>4.5578712871287139E-4</v>
      </c>
      <c r="M106" s="29">
        <f t="shared" si="24"/>
        <v>4.7762865441819992E-3</v>
      </c>
      <c r="N106" s="27">
        <f t="shared" si="39"/>
        <v>1.9204534908385725E-6</v>
      </c>
      <c r="O106" s="21">
        <f t="shared" si="26"/>
        <v>2.032E-3</v>
      </c>
      <c r="P106" s="21">
        <v>1.45111777225214E-10</v>
      </c>
      <c r="Q106" s="2">
        <v>0.32</v>
      </c>
      <c r="R106" s="27">
        <f t="shared" si="40"/>
        <v>132000</v>
      </c>
      <c r="S106" s="2">
        <v>5.3058450282772E-3</v>
      </c>
      <c r="T106" s="11">
        <v>0.11</v>
      </c>
      <c r="U106" s="30">
        <f t="shared" si="41"/>
        <v>111000.00000000001</v>
      </c>
      <c r="V106" s="30">
        <f t="shared" si="42"/>
        <v>50.592371287128728</v>
      </c>
      <c r="W106" s="11">
        <f t="shared" si="43"/>
        <v>1156.3358642046403</v>
      </c>
      <c r="X106" s="9">
        <f t="shared" si="44"/>
        <v>7.7876362403212611E-14</v>
      </c>
      <c r="Y106" s="9">
        <f t="shared" si="45"/>
        <v>46897145439.214638</v>
      </c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</row>
    <row r="107" spans="1:76" s="4" customFormat="1" x14ac:dyDescent="0.3">
      <c r="A107" s="26">
        <v>315</v>
      </c>
      <c r="B107" s="26">
        <f t="shared" si="32"/>
        <v>5.25</v>
      </c>
      <c r="C107" s="26">
        <v>20</v>
      </c>
      <c r="D107" s="26">
        <f t="shared" si="33"/>
        <v>29.146000000000001</v>
      </c>
      <c r="E107" s="26">
        <f t="shared" si="34"/>
        <v>4.8576666666666667E-7</v>
      </c>
      <c r="F107" s="26">
        <v>21.1</v>
      </c>
      <c r="G107" s="26">
        <f t="shared" si="35"/>
        <v>294.10000000000002</v>
      </c>
      <c r="H107" s="26">
        <v>101.3</v>
      </c>
      <c r="I107" s="26">
        <f t="shared" si="36"/>
        <v>101300</v>
      </c>
      <c r="J107" s="26">
        <f t="shared" si="37"/>
        <v>2.0124824921938581E-5</v>
      </c>
      <c r="K107" s="20">
        <v>459.52475247524757</v>
      </c>
      <c r="L107" s="27">
        <f t="shared" si="38"/>
        <v>4.5952475247524759E-4</v>
      </c>
      <c r="M107" s="29">
        <f t="shared" si="24"/>
        <v>4.7762865441819992E-3</v>
      </c>
      <c r="N107" s="27">
        <f t="shared" si="39"/>
        <v>1.9362019228361297E-6</v>
      </c>
      <c r="O107" s="21">
        <f t="shared" si="26"/>
        <v>2.032E-3</v>
      </c>
      <c r="P107" s="21">
        <v>1.45111777225214E-10</v>
      </c>
      <c r="Q107" s="2">
        <v>0.32</v>
      </c>
      <c r="R107" s="27">
        <f t="shared" si="40"/>
        <v>132000</v>
      </c>
      <c r="S107" s="2">
        <v>5.3058450282772E-3</v>
      </c>
      <c r="T107" s="11">
        <v>0.11</v>
      </c>
      <c r="U107" s="30">
        <f t="shared" si="41"/>
        <v>111000.00000000001</v>
      </c>
      <c r="V107" s="30">
        <f t="shared" si="42"/>
        <v>51.007247524752486</v>
      </c>
      <c r="W107" s="11">
        <f t="shared" si="43"/>
        <v>1173.375461456495</v>
      </c>
      <c r="X107" s="9">
        <f t="shared" si="44"/>
        <v>7.8525203736294502E-14</v>
      </c>
      <c r="Y107" s="9">
        <f t="shared" si="45"/>
        <v>47287877689.996552</v>
      </c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</row>
    <row r="108" spans="1:76" s="4" customFormat="1" x14ac:dyDescent="0.3">
      <c r="A108" s="26">
        <v>318</v>
      </c>
      <c r="B108" s="26">
        <f t="shared" si="32"/>
        <v>5.3</v>
      </c>
      <c r="C108" s="26">
        <v>20</v>
      </c>
      <c r="D108" s="26">
        <f t="shared" si="33"/>
        <v>29.146000000000001</v>
      </c>
      <c r="E108" s="26">
        <f t="shared" si="34"/>
        <v>4.8576666666666667E-7</v>
      </c>
      <c r="F108" s="26">
        <v>21.1</v>
      </c>
      <c r="G108" s="26">
        <f t="shared" si="35"/>
        <v>294.10000000000002</v>
      </c>
      <c r="H108" s="26">
        <v>101.3</v>
      </c>
      <c r="I108" s="26">
        <f t="shared" si="36"/>
        <v>101300</v>
      </c>
      <c r="J108" s="26">
        <f t="shared" si="37"/>
        <v>2.0124824921938581E-5</v>
      </c>
      <c r="K108" s="20">
        <v>454.20297029702976</v>
      </c>
      <c r="L108" s="27">
        <f t="shared" si="38"/>
        <v>4.5420297029702975E-4</v>
      </c>
      <c r="M108" s="29">
        <f t="shared" si="24"/>
        <v>4.7762865441819992E-3</v>
      </c>
      <c r="N108" s="27">
        <f t="shared" si="39"/>
        <v>1.9137786587336471E-6</v>
      </c>
      <c r="O108" s="21">
        <f t="shared" si="26"/>
        <v>2.032E-3</v>
      </c>
      <c r="P108" s="21">
        <v>1.45111777225214E-10</v>
      </c>
      <c r="Q108" s="2">
        <v>0.32</v>
      </c>
      <c r="R108" s="27">
        <f t="shared" si="40"/>
        <v>132000</v>
      </c>
      <c r="S108" s="2">
        <v>5.3058450282772E-3</v>
      </c>
      <c r="T108" s="11">
        <v>0.11</v>
      </c>
      <c r="U108" s="30">
        <f t="shared" si="41"/>
        <v>111000.00000000001</v>
      </c>
      <c r="V108" s="30">
        <f t="shared" si="42"/>
        <v>50.416529702970308</v>
      </c>
      <c r="W108" s="11">
        <f t="shared" si="43"/>
        <v>1149.1489487094743</v>
      </c>
      <c r="X108" s="9">
        <f t="shared" si="44"/>
        <v>7.7601428650125566E-14</v>
      </c>
      <c r="Y108" s="9">
        <f t="shared" si="45"/>
        <v>46731580333.105621</v>
      </c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</row>
    <row r="109" spans="1:76" s="4" customFormat="1" x14ac:dyDescent="0.3">
      <c r="A109" s="26">
        <v>321</v>
      </c>
      <c r="B109" s="26">
        <f t="shared" si="32"/>
        <v>5.35</v>
      </c>
      <c r="C109" s="26">
        <v>20</v>
      </c>
      <c r="D109" s="26">
        <f t="shared" si="33"/>
        <v>29.146000000000001</v>
      </c>
      <c r="E109" s="26">
        <f t="shared" si="34"/>
        <v>4.8576666666666667E-7</v>
      </c>
      <c r="F109" s="26">
        <v>21.1</v>
      </c>
      <c r="G109" s="26">
        <f t="shared" si="35"/>
        <v>294.10000000000002</v>
      </c>
      <c r="H109" s="26">
        <v>101.3</v>
      </c>
      <c r="I109" s="26">
        <f t="shared" si="36"/>
        <v>101300</v>
      </c>
      <c r="J109" s="26">
        <f t="shared" si="37"/>
        <v>2.0124824921938581E-5</v>
      </c>
      <c r="K109" s="20">
        <v>465.01980198019805</v>
      </c>
      <c r="L109" s="27">
        <f t="shared" si="38"/>
        <v>4.6501980198019807E-4</v>
      </c>
      <c r="M109" s="29">
        <f t="shared" si="24"/>
        <v>4.7762865441819992E-3</v>
      </c>
      <c r="N109" s="27">
        <f t="shared" si="39"/>
        <v>1.9593552467000883E-6</v>
      </c>
      <c r="O109" s="21">
        <f t="shared" si="26"/>
        <v>2.032E-3</v>
      </c>
      <c r="P109" s="21">
        <v>1.45111777225214E-10</v>
      </c>
      <c r="Q109" s="2">
        <v>0.32</v>
      </c>
      <c r="R109" s="27">
        <f t="shared" si="40"/>
        <v>132000</v>
      </c>
      <c r="S109" s="2">
        <v>5.3058450282772E-3</v>
      </c>
      <c r="T109" s="11">
        <v>0.11</v>
      </c>
      <c r="U109" s="30">
        <f t="shared" si="41"/>
        <v>111000.00000000001</v>
      </c>
      <c r="V109" s="30">
        <f t="shared" si="42"/>
        <v>51.61719801980199</v>
      </c>
      <c r="W109" s="11">
        <f t="shared" si="43"/>
        <v>1198.6385389147001</v>
      </c>
      <c r="X109" s="9">
        <f t="shared" si="44"/>
        <v>7.9479564877659426E-14</v>
      </c>
      <c r="Y109" s="9">
        <f t="shared" si="45"/>
        <v>47862593969.326508</v>
      </c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</row>
    <row r="110" spans="1:76" s="4" customFormat="1" x14ac:dyDescent="0.3">
      <c r="A110" s="26">
        <v>324</v>
      </c>
      <c r="B110" s="26">
        <f t="shared" si="32"/>
        <v>5.4</v>
      </c>
      <c r="C110" s="26">
        <v>20</v>
      </c>
      <c r="D110" s="26">
        <f t="shared" si="33"/>
        <v>29.146000000000001</v>
      </c>
      <c r="E110" s="26">
        <f t="shared" si="34"/>
        <v>4.8576666666666667E-7</v>
      </c>
      <c r="F110" s="26">
        <v>21.1</v>
      </c>
      <c r="G110" s="26">
        <f t="shared" si="35"/>
        <v>294.10000000000002</v>
      </c>
      <c r="H110" s="26">
        <v>101.3</v>
      </c>
      <c r="I110" s="26">
        <f t="shared" si="36"/>
        <v>101300</v>
      </c>
      <c r="J110" s="26">
        <f t="shared" si="37"/>
        <v>2.0124824921938581E-5</v>
      </c>
      <c r="K110" s="20">
        <v>458.03960396039605</v>
      </c>
      <c r="L110" s="27">
        <f t="shared" si="38"/>
        <v>4.5803960396039606E-4</v>
      </c>
      <c r="M110" s="29">
        <f t="shared" si="24"/>
        <v>4.7762865441819992E-3</v>
      </c>
      <c r="N110" s="27">
        <f t="shared" si="39"/>
        <v>1.9299442677377624E-6</v>
      </c>
      <c r="O110" s="21">
        <f t="shared" si="26"/>
        <v>2.032E-3</v>
      </c>
      <c r="P110" s="21">
        <v>1.45111777225214E-10</v>
      </c>
      <c r="Q110" s="2">
        <v>0.32</v>
      </c>
      <c r="R110" s="27">
        <f t="shared" si="40"/>
        <v>132000</v>
      </c>
      <c r="S110" s="2">
        <v>5.3058450282772E-3</v>
      </c>
      <c r="T110" s="11">
        <v>0.11</v>
      </c>
      <c r="U110" s="30">
        <f t="shared" si="41"/>
        <v>111000.00000000001</v>
      </c>
      <c r="V110" s="30">
        <f t="shared" si="42"/>
        <v>50.842396039603969</v>
      </c>
      <c r="W110" s="11">
        <f t="shared" si="43"/>
        <v>1166.5908100549568</v>
      </c>
      <c r="X110" s="9">
        <f t="shared" si="44"/>
        <v>7.8267357406868397E-14</v>
      </c>
      <c r="Y110" s="9">
        <f t="shared" si="45"/>
        <v>47132602630.416153</v>
      </c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</row>
    <row r="111" spans="1:76" s="4" customFormat="1" x14ac:dyDescent="0.3">
      <c r="A111" s="26">
        <v>327</v>
      </c>
      <c r="B111" s="26">
        <f t="shared" si="32"/>
        <v>5.45</v>
      </c>
      <c r="C111" s="26">
        <v>20</v>
      </c>
      <c r="D111" s="26">
        <f t="shared" si="33"/>
        <v>29.146000000000001</v>
      </c>
      <c r="E111" s="26">
        <f t="shared" si="34"/>
        <v>4.8576666666666667E-7</v>
      </c>
      <c r="F111" s="26">
        <v>21.1</v>
      </c>
      <c r="G111" s="26">
        <f t="shared" si="35"/>
        <v>294.10000000000002</v>
      </c>
      <c r="H111" s="26">
        <v>101.3</v>
      </c>
      <c r="I111" s="26">
        <f t="shared" si="36"/>
        <v>101300</v>
      </c>
      <c r="J111" s="26">
        <f t="shared" si="37"/>
        <v>2.0124824921938581E-5</v>
      </c>
      <c r="K111" s="20">
        <v>454.64851485148512</v>
      </c>
      <c r="L111" s="27">
        <f t="shared" si="38"/>
        <v>4.5464851485148511E-4</v>
      </c>
      <c r="M111" s="29">
        <f t="shared" si="24"/>
        <v>4.7762865441819992E-3</v>
      </c>
      <c r="N111" s="27">
        <f t="shared" si="39"/>
        <v>1.9156559552631572E-6</v>
      </c>
      <c r="O111" s="21">
        <f t="shared" si="26"/>
        <v>2.032E-3</v>
      </c>
      <c r="P111" s="21">
        <v>1.45111777225214E-10</v>
      </c>
      <c r="Q111" s="2">
        <v>0.32</v>
      </c>
      <c r="R111" s="27">
        <f t="shared" si="40"/>
        <v>132000</v>
      </c>
      <c r="S111" s="2">
        <v>5.3058450282772E-3</v>
      </c>
      <c r="T111" s="11">
        <v>0.11</v>
      </c>
      <c r="U111" s="30">
        <f t="shared" si="41"/>
        <v>111000.00000000001</v>
      </c>
      <c r="V111" s="30">
        <f t="shared" si="42"/>
        <v>50.465985148514854</v>
      </c>
      <c r="W111" s="11">
        <f t="shared" si="43"/>
        <v>1151.1681520072796</v>
      </c>
      <c r="X111" s="9">
        <f t="shared" si="44"/>
        <v>7.7678749458996845E-14</v>
      </c>
      <c r="Y111" s="9">
        <f t="shared" si="45"/>
        <v>46778142924.207901</v>
      </c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</row>
    <row r="112" spans="1:76" s="4" customFormat="1" x14ac:dyDescent="0.3">
      <c r="A112" s="26">
        <v>330</v>
      </c>
      <c r="B112" s="26">
        <f t="shared" si="32"/>
        <v>5.5</v>
      </c>
      <c r="C112" s="26">
        <v>20</v>
      </c>
      <c r="D112" s="26">
        <f t="shared" si="33"/>
        <v>29.146000000000001</v>
      </c>
      <c r="E112" s="26">
        <f t="shared" si="34"/>
        <v>4.8576666666666667E-7</v>
      </c>
      <c r="F112" s="26">
        <v>21.1</v>
      </c>
      <c r="G112" s="26">
        <f t="shared" si="35"/>
        <v>294.10000000000002</v>
      </c>
      <c r="H112" s="26">
        <v>101.3</v>
      </c>
      <c r="I112" s="26">
        <f t="shared" si="36"/>
        <v>101300</v>
      </c>
      <c r="J112" s="26">
        <f t="shared" si="37"/>
        <v>2.0124824921938581E-5</v>
      </c>
      <c r="K112" s="20">
        <v>448.6584158415842</v>
      </c>
      <c r="L112" s="27">
        <f t="shared" si="38"/>
        <v>4.486584158415842E-4</v>
      </c>
      <c r="M112" s="29">
        <f t="shared" si="24"/>
        <v>4.7762865441819992E-3</v>
      </c>
      <c r="N112" s="27">
        <f t="shared" si="39"/>
        <v>1.8904167463664094E-6</v>
      </c>
      <c r="O112" s="21">
        <f t="shared" si="26"/>
        <v>2.032E-3</v>
      </c>
      <c r="P112" s="21">
        <v>1.45111777225214E-10</v>
      </c>
      <c r="Q112" s="2">
        <v>0.32</v>
      </c>
      <c r="R112" s="27">
        <f t="shared" si="40"/>
        <v>132000</v>
      </c>
      <c r="S112" s="2">
        <v>5.3058450282772E-3</v>
      </c>
      <c r="T112" s="11">
        <v>0.11</v>
      </c>
      <c r="U112" s="30">
        <f t="shared" si="41"/>
        <v>111000.00000000001</v>
      </c>
      <c r="V112" s="30">
        <f t="shared" si="42"/>
        <v>49.801084158415854</v>
      </c>
      <c r="W112" s="11">
        <f t="shared" si="43"/>
        <v>1124.159722138369</v>
      </c>
      <c r="X112" s="9">
        <f t="shared" si="44"/>
        <v>7.6639494912009721E-14</v>
      </c>
      <c r="Y112" s="9">
        <f t="shared" si="45"/>
        <v>46152303836.012253</v>
      </c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</row>
    <row r="113" spans="1:76" s="4" customFormat="1" x14ac:dyDescent="0.3">
      <c r="A113" s="26">
        <v>333</v>
      </c>
      <c r="B113" s="26">
        <f t="shared" si="32"/>
        <v>5.55</v>
      </c>
      <c r="C113" s="26">
        <v>20</v>
      </c>
      <c r="D113" s="26">
        <f t="shared" si="33"/>
        <v>29.146000000000001</v>
      </c>
      <c r="E113" s="26">
        <f t="shared" si="34"/>
        <v>4.8576666666666667E-7</v>
      </c>
      <c r="F113" s="26">
        <v>21.1</v>
      </c>
      <c r="G113" s="26">
        <f t="shared" si="35"/>
        <v>294.10000000000002</v>
      </c>
      <c r="H113" s="26">
        <v>101.3</v>
      </c>
      <c r="I113" s="26">
        <f t="shared" si="36"/>
        <v>101300</v>
      </c>
      <c r="J113" s="26">
        <f t="shared" si="37"/>
        <v>2.0124824921938581E-5</v>
      </c>
      <c r="K113" s="20">
        <v>459.52475247524757</v>
      </c>
      <c r="L113" s="27">
        <f t="shared" si="38"/>
        <v>4.5952475247524759E-4</v>
      </c>
      <c r="M113" s="29">
        <f t="shared" si="24"/>
        <v>4.7762865441819992E-3</v>
      </c>
      <c r="N113" s="27">
        <f t="shared" si="39"/>
        <v>1.9362019228361297E-6</v>
      </c>
      <c r="O113" s="21">
        <f t="shared" si="26"/>
        <v>2.032E-3</v>
      </c>
      <c r="P113" s="21">
        <v>1.45111777225214E-10</v>
      </c>
      <c r="Q113" s="2">
        <v>0.32</v>
      </c>
      <c r="R113" s="27">
        <f t="shared" si="40"/>
        <v>132000</v>
      </c>
      <c r="S113" s="2">
        <v>5.3058450282772E-3</v>
      </c>
      <c r="T113" s="11">
        <v>0.11</v>
      </c>
      <c r="U113" s="30">
        <f t="shared" si="41"/>
        <v>111000.00000000001</v>
      </c>
      <c r="V113" s="30">
        <f t="shared" si="42"/>
        <v>51.007247524752486</v>
      </c>
      <c r="W113" s="11">
        <f t="shared" si="43"/>
        <v>1173.375461456495</v>
      </c>
      <c r="X113" s="9">
        <f t="shared" si="44"/>
        <v>7.8525203736294502E-14</v>
      </c>
      <c r="Y113" s="9">
        <f t="shared" si="45"/>
        <v>47287877689.996552</v>
      </c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</row>
    <row r="114" spans="1:76" s="4" customFormat="1" x14ac:dyDescent="0.3">
      <c r="A114" s="26">
        <v>336</v>
      </c>
      <c r="B114" s="26">
        <f t="shared" si="32"/>
        <v>5.6</v>
      </c>
      <c r="C114" s="26">
        <v>20</v>
      </c>
      <c r="D114" s="26">
        <f t="shared" si="33"/>
        <v>29.146000000000001</v>
      </c>
      <c r="E114" s="26">
        <f t="shared" si="34"/>
        <v>4.8576666666666667E-7</v>
      </c>
      <c r="F114" s="26">
        <v>21.1</v>
      </c>
      <c r="G114" s="26">
        <f t="shared" si="35"/>
        <v>294.10000000000002</v>
      </c>
      <c r="H114" s="26">
        <v>101.3</v>
      </c>
      <c r="I114" s="26">
        <f t="shared" si="36"/>
        <v>101300</v>
      </c>
      <c r="J114" s="26">
        <f t="shared" si="37"/>
        <v>2.0124824921938581E-5</v>
      </c>
      <c r="K114" s="20">
        <v>452.17326732673274</v>
      </c>
      <c r="L114" s="27">
        <f t="shared" si="38"/>
        <v>4.5217326732673274E-4</v>
      </c>
      <c r="M114" s="29">
        <f t="shared" si="24"/>
        <v>4.7762865441819992E-3</v>
      </c>
      <c r="N114" s="27">
        <f t="shared" si="39"/>
        <v>1.9052265300992122E-6</v>
      </c>
      <c r="O114" s="21">
        <f t="shared" si="26"/>
        <v>2.032E-3</v>
      </c>
      <c r="P114" s="21">
        <v>1.45111777225214E-10</v>
      </c>
      <c r="Q114" s="2">
        <v>0.32</v>
      </c>
      <c r="R114" s="27">
        <f t="shared" si="40"/>
        <v>132000</v>
      </c>
      <c r="S114" s="2">
        <v>5.3058450282772E-3</v>
      </c>
      <c r="T114" s="11">
        <v>0.11</v>
      </c>
      <c r="U114" s="30">
        <f t="shared" si="41"/>
        <v>111000.00000000001</v>
      </c>
      <c r="V114" s="30">
        <f t="shared" si="42"/>
        <v>50.191232673267344</v>
      </c>
      <c r="W114" s="11">
        <f t="shared" si="43"/>
        <v>1139.9713228585601</v>
      </c>
      <c r="X114" s="9">
        <f t="shared" si="44"/>
        <v>7.724923198213033E-14</v>
      </c>
      <c r="Y114" s="9">
        <f t="shared" si="45"/>
        <v>46519487499.638885</v>
      </c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</row>
    <row r="115" spans="1:76" s="4" customFormat="1" x14ac:dyDescent="0.3">
      <c r="A115" s="26">
        <v>339</v>
      </c>
      <c r="B115" s="26">
        <f t="shared" si="32"/>
        <v>5.65</v>
      </c>
      <c r="C115" s="26">
        <v>20</v>
      </c>
      <c r="D115" s="26">
        <f t="shared" si="33"/>
        <v>29.146000000000001</v>
      </c>
      <c r="E115" s="26">
        <f t="shared" si="34"/>
        <v>4.8576666666666667E-7</v>
      </c>
      <c r="F115" s="26">
        <v>21.1</v>
      </c>
      <c r="G115" s="26">
        <f t="shared" si="35"/>
        <v>294.10000000000002</v>
      </c>
      <c r="H115" s="26">
        <v>101.3</v>
      </c>
      <c r="I115" s="26">
        <f t="shared" si="36"/>
        <v>101300</v>
      </c>
      <c r="J115" s="26">
        <f t="shared" si="37"/>
        <v>2.0124824921938581E-5</v>
      </c>
      <c r="K115" s="20">
        <v>456.60396039603961</v>
      </c>
      <c r="L115" s="27">
        <f t="shared" si="38"/>
        <v>4.5660396039603958E-4</v>
      </c>
      <c r="M115" s="29">
        <f t="shared" si="24"/>
        <v>4.7762865441819992E-3</v>
      </c>
      <c r="N115" s="27">
        <f t="shared" si="39"/>
        <v>1.923895201142674E-6</v>
      </c>
      <c r="O115" s="21">
        <f t="shared" si="26"/>
        <v>2.032E-3</v>
      </c>
      <c r="P115" s="21">
        <v>1.45111777225214E-10</v>
      </c>
      <c r="Q115" s="2">
        <v>0.32</v>
      </c>
      <c r="R115" s="27">
        <f t="shared" si="40"/>
        <v>132000</v>
      </c>
      <c r="S115" s="2">
        <v>5.3058450282772E-3</v>
      </c>
      <c r="T115" s="11">
        <v>0.11</v>
      </c>
      <c r="U115" s="30">
        <f t="shared" si="41"/>
        <v>111000.00000000001</v>
      </c>
      <c r="V115" s="30">
        <f t="shared" si="42"/>
        <v>50.683039603960403</v>
      </c>
      <c r="W115" s="11">
        <f t="shared" si="43"/>
        <v>1160.0497995192159</v>
      </c>
      <c r="X115" s="9">
        <f t="shared" si="44"/>
        <v>7.8018141800482826E-14</v>
      </c>
      <c r="Y115" s="9">
        <f t="shared" si="45"/>
        <v>46982524992.250763</v>
      </c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</row>
    <row r="116" spans="1:76" s="4" customFormat="1" x14ac:dyDescent="0.3">
      <c r="A116" s="26">
        <v>342</v>
      </c>
      <c r="B116" s="26">
        <f t="shared" si="32"/>
        <v>5.7</v>
      </c>
      <c r="C116" s="26">
        <v>20</v>
      </c>
      <c r="D116" s="26">
        <f t="shared" si="33"/>
        <v>29.146000000000001</v>
      </c>
      <c r="E116" s="26">
        <f t="shared" si="34"/>
        <v>4.8576666666666667E-7</v>
      </c>
      <c r="F116" s="26">
        <v>21.1</v>
      </c>
      <c r="G116" s="26">
        <f t="shared" si="35"/>
        <v>294.10000000000002</v>
      </c>
      <c r="H116" s="26">
        <v>101.3</v>
      </c>
      <c r="I116" s="26">
        <f t="shared" si="36"/>
        <v>101300</v>
      </c>
      <c r="J116" s="26">
        <f t="shared" si="37"/>
        <v>2.0124824921938581E-5</v>
      </c>
      <c r="K116" s="20">
        <v>445.78712871287138</v>
      </c>
      <c r="L116" s="27">
        <f t="shared" si="38"/>
        <v>4.4578712871287137E-4</v>
      </c>
      <c r="M116" s="29">
        <f t="shared" si="24"/>
        <v>4.7762865441819992E-3</v>
      </c>
      <c r="N116" s="27">
        <f t="shared" si="39"/>
        <v>1.8783186131762332E-6</v>
      </c>
      <c r="O116" s="21">
        <f t="shared" si="26"/>
        <v>2.032E-3</v>
      </c>
      <c r="P116" s="21">
        <v>1.45111777225214E-10</v>
      </c>
      <c r="Q116" s="2">
        <v>0.32</v>
      </c>
      <c r="R116" s="27">
        <f t="shared" si="40"/>
        <v>132000</v>
      </c>
      <c r="S116" s="2">
        <v>5.3058450282772E-3</v>
      </c>
      <c r="T116" s="11">
        <v>0.11</v>
      </c>
      <c r="U116" s="30">
        <f t="shared" si="41"/>
        <v>111000.00000000001</v>
      </c>
      <c r="V116" s="30">
        <f t="shared" si="42"/>
        <v>49.482371287128728</v>
      </c>
      <c r="W116" s="11">
        <f t="shared" si="43"/>
        <v>1111.319795236016</v>
      </c>
      <c r="X116" s="9">
        <f t="shared" si="44"/>
        <v>7.6141553720692994E-14</v>
      </c>
      <c r="Y116" s="9">
        <f t="shared" si="45"/>
        <v>45852443650.601326</v>
      </c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</row>
    <row r="117" spans="1:76" s="4" customFormat="1" x14ac:dyDescent="0.3">
      <c r="A117" s="26">
        <v>345</v>
      </c>
      <c r="B117" s="26">
        <f t="shared" si="32"/>
        <v>5.75</v>
      </c>
      <c r="C117" s="26">
        <v>20</v>
      </c>
      <c r="D117" s="26">
        <f t="shared" si="33"/>
        <v>29.146000000000001</v>
      </c>
      <c r="E117" s="26">
        <f t="shared" si="34"/>
        <v>4.8576666666666667E-7</v>
      </c>
      <c r="F117" s="26">
        <v>21.1</v>
      </c>
      <c r="G117" s="26">
        <f t="shared" si="35"/>
        <v>294.10000000000002</v>
      </c>
      <c r="H117" s="26">
        <v>101.3</v>
      </c>
      <c r="I117" s="26">
        <f t="shared" si="36"/>
        <v>101300</v>
      </c>
      <c r="J117" s="26">
        <f t="shared" si="37"/>
        <v>2.0124824921938581E-5</v>
      </c>
      <c r="K117" s="20">
        <v>443.46039603960401</v>
      </c>
      <c r="L117" s="27">
        <f t="shared" si="38"/>
        <v>4.4346039603960401E-4</v>
      </c>
      <c r="M117" s="29">
        <f t="shared" si="24"/>
        <v>4.7762865441819992E-3</v>
      </c>
      <c r="N117" s="27">
        <f t="shared" si="39"/>
        <v>1.8685149535221241E-6</v>
      </c>
      <c r="O117" s="21">
        <f t="shared" si="26"/>
        <v>2.032E-3</v>
      </c>
      <c r="P117" s="21">
        <v>1.45111777225214E-10</v>
      </c>
      <c r="Q117" s="2">
        <v>0.32</v>
      </c>
      <c r="R117" s="27">
        <f t="shared" si="40"/>
        <v>132000</v>
      </c>
      <c r="S117" s="2">
        <v>5.3058450282772E-3</v>
      </c>
      <c r="T117" s="11">
        <v>0.11</v>
      </c>
      <c r="U117" s="30">
        <f t="shared" si="41"/>
        <v>111000.00000000001</v>
      </c>
      <c r="V117" s="30">
        <f t="shared" si="42"/>
        <v>49.22410396039605</v>
      </c>
      <c r="W117" s="11">
        <f t="shared" si="43"/>
        <v>1100.9655730132461</v>
      </c>
      <c r="X117" s="9">
        <f t="shared" si="44"/>
        <v>7.5738150550964178E-14</v>
      </c>
      <c r="Y117" s="9">
        <f t="shared" si="45"/>
        <v>45609514261.790627</v>
      </c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</row>
    <row r="118" spans="1:76" s="4" customFormat="1" x14ac:dyDescent="0.3">
      <c r="A118" s="26">
        <v>348</v>
      </c>
      <c r="B118" s="26">
        <f t="shared" si="32"/>
        <v>5.8</v>
      </c>
      <c r="C118" s="26">
        <v>20</v>
      </c>
      <c r="D118" s="26">
        <f t="shared" si="33"/>
        <v>29.146000000000001</v>
      </c>
      <c r="E118" s="26">
        <f t="shared" si="34"/>
        <v>4.8576666666666667E-7</v>
      </c>
      <c r="F118" s="26">
        <v>21.1</v>
      </c>
      <c r="G118" s="26">
        <f t="shared" si="35"/>
        <v>294.10000000000002</v>
      </c>
      <c r="H118" s="26">
        <v>101.3</v>
      </c>
      <c r="I118" s="26">
        <f t="shared" si="36"/>
        <v>101300</v>
      </c>
      <c r="J118" s="26">
        <f t="shared" si="37"/>
        <v>2.0124824921938581E-5</v>
      </c>
      <c r="K118" s="20">
        <v>464.0792079207921</v>
      </c>
      <c r="L118" s="27">
        <f t="shared" si="38"/>
        <v>4.6407920792079207E-4</v>
      </c>
      <c r="M118" s="29">
        <f t="shared" si="24"/>
        <v>4.7762865441819992E-3</v>
      </c>
      <c r="N118" s="27">
        <f t="shared" si="39"/>
        <v>1.9553920651377892E-6</v>
      </c>
      <c r="O118" s="21">
        <f t="shared" si="26"/>
        <v>2.032E-3</v>
      </c>
      <c r="P118" s="21">
        <v>1.45111777225214E-10</v>
      </c>
      <c r="Q118" s="2">
        <v>0.32</v>
      </c>
      <c r="R118" s="27">
        <f t="shared" si="40"/>
        <v>132000</v>
      </c>
      <c r="S118" s="2">
        <v>5.3058450282772E-3</v>
      </c>
      <c r="T118" s="11">
        <v>0.11</v>
      </c>
      <c r="U118" s="30">
        <f t="shared" si="41"/>
        <v>111000.00000000001</v>
      </c>
      <c r="V118" s="30">
        <f t="shared" si="42"/>
        <v>51.512792079207927</v>
      </c>
      <c r="W118" s="11">
        <f t="shared" si="43"/>
        <v>1194.2963798070268</v>
      </c>
      <c r="X118" s="9">
        <f t="shared" si="44"/>
        <v>7.9316168790841608E-14</v>
      </c>
      <c r="Y118" s="9">
        <f t="shared" si="45"/>
        <v>47764196845.844818</v>
      </c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</row>
    <row r="119" spans="1:76" s="4" customFormat="1" x14ac:dyDescent="0.3">
      <c r="A119" s="26">
        <v>351</v>
      </c>
      <c r="B119" s="26">
        <f t="shared" si="32"/>
        <v>5.85</v>
      </c>
      <c r="C119" s="26">
        <v>20</v>
      </c>
      <c r="D119" s="26">
        <f t="shared" si="33"/>
        <v>29.146000000000001</v>
      </c>
      <c r="E119" s="26">
        <f t="shared" si="34"/>
        <v>4.8576666666666667E-7</v>
      </c>
      <c r="F119" s="26">
        <v>21.1</v>
      </c>
      <c r="G119" s="26">
        <f t="shared" si="35"/>
        <v>294.10000000000002</v>
      </c>
      <c r="H119" s="26">
        <v>101.3</v>
      </c>
      <c r="I119" s="26">
        <f t="shared" si="36"/>
        <v>101300</v>
      </c>
      <c r="J119" s="26">
        <f t="shared" si="37"/>
        <v>2.0124824921938581E-5</v>
      </c>
      <c r="K119" s="20">
        <v>456.57920792079216</v>
      </c>
      <c r="L119" s="27">
        <f t="shared" si="38"/>
        <v>4.5657920792079216E-4</v>
      </c>
      <c r="M119" s="29">
        <f t="shared" si="24"/>
        <v>4.7762865441819992E-3</v>
      </c>
      <c r="N119" s="27">
        <f t="shared" si="39"/>
        <v>1.923790906891035E-6</v>
      </c>
      <c r="O119" s="21">
        <f t="shared" si="26"/>
        <v>2.032E-3</v>
      </c>
      <c r="P119" s="21">
        <v>1.45111777225214E-10</v>
      </c>
      <c r="Q119" s="2">
        <v>0.32</v>
      </c>
      <c r="R119" s="27">
        <f t="shared" si="40"/>
        <v>132000</v>
      </c>
      <c r="S119" s="2">
        <v>5.3058450282772E-3</v>
      </c>
      <c r="T119" s="11">
        <v>0.11</v>
      </c>
      <c r="U119" s="30">
        <f t="shared" si="41"/>
        <v>111000.00000000001</v>
      </c>
      <c r="V119" s="30">
        <f t="shared" si="42"/>
        <v>50.680292079207938</v>
      </c>
      <c r="W119" s="11">
        <f t="shared" si="43"/>
        <v>1159.9371742420365</v>
      </c>
      <c r="X119" s="9">
        <f t="shared" si="44"/>
        <v>7.8013845288090194E-14</v>
      </c>
      <c r="Y119" s="9">
        <f t="shared" si="45"/>
        <v>46979937632.487915</v>
      </c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</row>
    <row r="120" spans="1:76" s="4" customFormat="1" x14ac:dyDescent="0.3">
      <c r="A120" s="26">
        <v>354</v>
      </c>
      <c r="B120" s="26">
        <f t="shared" si="32"/>
        <v>5.9</v>
      </c>
      <c r="C120" s="26">
        <v>20</v>
      </c>
      <c r="D120" s="26">
        <f t="shared" si="33"/>
        <v>29.146000000000001</v>
      </c>
      <c r="E120" s="26">
        <f t="shared" si="34"/>
        <v>4.8576666666666667E-7</v>
      </c>
      <c r="F120" s="26">
        <v>21.1</v>
      </c>
      <c r="G120" s="26">
        <f t="shared" si="35"/>
        <v>294.10000000000002</v>
      </c>
      <c r="H120" s="26">
        <v>101.3</v>
      </c>
      <c r="I120" s="26">
        <f t="shared" si="36"/>
        <v>101300</v>
      </c>
      <c r="J120" s="26">
        <f t="shared" si="37"/>
        <v>2.0124824921938581E-5</v>
      </c>
      <c r="K120" s="20">
        <v>465.29207920792078</v>
      </c>
      <c r="L120" s="27">
        <f t="shared" si="38"/>
        <v>4.6529207920792078E-4</v>
      </c>
      <c r="M120" s="29">
        <f t="shared" si="24"/>
        <v>4.7762865441819992E-3</v>
      </c>
      <c r="N120" s="27">
        <f t="shared" si="39"/>
        <v>1.9605024834681224E-6</v>
      </c>
      <c r="O120" s="21">
        <f t="shared" si="26"/>
        <v>2.032E-3</v>
      </c>
      <c r="P120" s="21">
        <v>1.45111777225214E-10</v>
      </c>
      <c r="Q120" s="2">
        <v>0.32</v>
      </c>
      <c r="R120" s="27">
        <f t="shared" si="40"/>
        <v>132000</v>
      </c>
      <c r="S120" s="2">
        <v>5.3058450282772E-3</v>
      </c>
      <c r="T120" s="11">
        <v>0.11</v>
      </c>
      <c r="U120" s="30">
        <f t="shared" si="41"/>
        <v>111000.00000000001</v>
      </c>
      <c r="V120" s="30">
        <f t="shared" si="42"/>
        <v>51.647420792079217</v>
      </c>
      <c r="W120" s="11">
        <f t="shared" si="43"/>
        <v>1199.8968551509599</v>
      </c>
      <c r="X120" s="9">
        <f t="shared" si="44"/>
        <v>7.9526866605869951E-14</v>
      </c>
      <c r="Y120" s="9">
        <f t="shared" si="45"/>
        <v>47891079070.054886</v>
      </c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</row>
    <row r="121" spans="1:76" s="4" customFormat="1" x14ac:dyDescent="0.3">
      <c r="A121" s="26">
        <v>357</v>
      </c>
      <c r="B121" s="26">
        <f t="shared" si="32"/>
        <v>5.95</v>
      </c>
      <c r="C121" s="26">
        <v>20</v>
      </c>
      <c r="D121" s="26">
        <f t="shared" si="33"/>
        <v>29.146000000000001</v>
      </c>
      <c r="E121" s="26">
        <f t="shared" si="34"/>
        <v>4.8576666666666667E-7</v>
      </c>
      <c r="F121" s="26">
        <v>21.1</v>
      </c>
      <c r="G121" s="26">
        <f t="shared" si="35"/>
        <v>294.10000000000002</v>
      </c>
      <c r="H121" s="26">
        <v>101.3</v>
      </c>
      <c r="I121" s="26">
        <f t="shared" si="36"/>
        <v>101300</v>
      </c>
      <c r="J121" s="26">
        <f t="shared" si="37"/>
        <v>2.0124824921938581E-5</v>
      </c>
      <c r="K121" s="20">
        <v>445.86138613861391</v>
      </c>
      <c r="L121" s="27">
        <f t="shared" si="38"/>
        <v>4.458613861386139E-4</v>
      </c>
      <c r="M121" s="29">
        <f t="shared" si="24"/>
        <v>4.7762865441819992E-3</v>
      </c>
      <c r="N121" s="27">
        <f t="shared" si="39"/>
        <v>1.8786314959311513E-6</v>
      </c>
      <c r="O121" s="21">
        <f t="shared" si="26"/>
        <v>2.032E-3</v>
      </c>
      <c r="P121" s="21">
        <v>1.45111777225214E-10</v>
      </c>
      <c r="Q121" s="2">
        <v>0.32</v>
      </c>
      <c r="R121" s="27">
        <f t="shared" si="40"/>
        <v>132000</v>
      </c>
      <c r="S121" s="2">
        <v>5.3058450282772E-3</v>
      </c>
      <c r="T121" s="11">
        <v>0.11</v>
      </c>
      <c r="U121" s="30">
        <f t="shared" si="41"/>
        <v>111000.00000000001</v>
      </c>
      <c r="V121" s="30">
        <f t="shared" si="42"/>
        <v>49.490613861386151</v>
      </c>
      <c r="W121" s="11">
        <f t="shared" si="43"/>
        <v>1111.6509943997696</v>
      </c>
      <c r="X121" s="9">
        <f t="shared" si="44"/>
        <v>7.6154429774530774E-14</v>
      </c>
      <c r="Y121" s="9">
        <f t="shared" si="45"/>
        <v>45860197610.222435</v>
      </c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</row>
    <row r="122" spans="1:76" s="4" customFormat="1" x14ac:dyDescent="0.3">
      <c r="A122" s="26">
        <v>360</v>
      </c>
      <c r="B122" s="26">
        <f t="shared" si="32"/>
        <v>6</v>
      </c>
      <c r="C122" s="26">
        <v>20</v>
      </c>
      <c r="D122" s="26">
        <f t="shared" si="33"/>
        <v>29.146000000000001</v>
      </c>
      <c r="E122" s="26">
        <f t="shared" si="34"/>
        <v>4.8576666666666667E-7</v>
      </c>
      <c r="F122" s="26">
        <v>21.1</v>
      </c>
      <c r="G122" s="26">
        <f t="shared" si="35"/>
        <v>294.10000000000002</v>
      </c>
      <c r="H122" s="26">
        <v>101.3</v>
      </c>
      <c r="I122" s="26">
        <f t="shared" si="36"/>
        <v>101300</v>
      </c>
      <c r="J122" s="26">
        <f t="shared" si="37"/>
        <v>2.0124824921938581E-5</v>
      </c>
      <c r="K122" s="20">
        <v>458.21287128712873</v>
      </c>
      <c r="L122" s="27">
        <f t="shared" si="38"/>
        <v>4.5821287128712876E-4</v>
      </c>
      <c r="M122" s="29">
        <f t="shared" si="24"/>
        <v>4.7762865441819992E-3</v>
      </c>
      <c r="N122" s="27">
        <f t="shared" si="39"/>
        <v>1.9306743274992388E-6</v>
      </c>
      <c r="O122" s="21">
        <f t="shared" si="26"/>
        <v>2.032E-3</v>
      </c>
      <c r="P122" s="21">
        <v>1.45111777225214E-10</v>
      </c>
      <c r="Q122" s="2">
        <v>0.32</v>
      </c>
      <c r="R122" s="27">
        <f t="shared" si="40"/>
        <v>132000</v>
      </c>
      <c r="S122" s="2">
        <v>5.3058450282772E-3</v>
      </c>
      <c r="T122" s="11">
        <v>0.11</v>
      </c>
      <c r="U122" s="30">
        <f t="shared" si="41"/>
        <v>111000.00000000001</v>
      </c>
      <c r="V122" s="30">
        <f t="shared" si="42"/>
        <v>50.861628712871301</v>
      </c>
      <c r="W122" s="11">
        <f t="shared" si="43"/>
        <v>1167.3814049376977</v>
      </c>
      <c r="X122" s="9">
        <f t="shared" si="44"/>
        <v>7.8297437533447578E-14</v>
      </c>
      <c r="Y122" s="9">
        <f t="shared" si="45"/>
        <v>47150716882.642136</v>
      </c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</row>
    <row r="123" spans="1:76" s="4" customFormat="1" x14ac:dyDescent="0.3">
      <c r="A123" s="26">
        <v>363</v>
      </c>
      <c r="B123" s="26">
        <f t="shared" si="32"/>
        <v>6.05</v>
      </c>
      <c r="C123" s="26">
        <v>20</v>
      </c>
      <c r="D123" s="26">
        <f t="shared" si="33"/>
        <v>29.146000000000001</v>
      </c>
      <c r="E123" s="26">
        <f t="shared" si="34"/>
        <v>4.8576666666666667E-7</v>
      </c>
      <c r="F123" s="26">
        <v>21.1</v>
      </c>
      <c r="G123" s="26">
        <f t="shared" si="35"/>
        <v>294.10000000000002</v>
      </c>
      <c r="H123" s="26">
        <v>101.3</v>
      </c>
      <c r="I123" s="26">
        <f t="shared" si="36"/>
        <v>101300</v>
      </c>
      <c r="J123" s="26">
        <f t="shared" si="37"/>
        <v>2.0124824921938581E-5</v>
      </c>
      <c r="K123" s="20">
        <v>455.46534653465346</v>
      </c>
      <c r="L123" s="27">
        <f t="shared" si="38"/>
        <v>4.5546534653465346E-4</v>
      </c>
      <c r="M123" s="29">
        <f t="shared" si="24"/>
        <v>4.7762865441819992E-3</v>
      </c>
      <c r="N123" s="27">
        <f t="shared" si="39"/>
        <v>1.9190976655672591E-6</v>
      </c>
      <c r="O123" s="21">
        <f t="shared" si="26"/>
        <v>2.032E-3</v>
      </c>
      <c r="P123" s="21">
        <v>1.45111777225214E-10</v>
      </c>
      <c r="Q123" s="2">
        <v>0.32</v>
      </c>
      <c r="R123" s="27">
        <f t="shared" si="40"/>
        <v>132000</v>
      </c>
      <c r="S123" s="2">
        <v>5.3058450282772E-3</v>
      </c>
      <c r="T123" s="11">
        <v>0.11</v>
      </c>
      <c r="U123" s="30">
        <f t="shared" si="41"/>
        <v>111000.00000000001</v>
      </c>
      <c r="V123" s="30">
        <f t="shared" si="42"/>
        <v>50.556653465346542</v>
      </c>
      <c r="W123" s="11">
        <f t="shared" si="43"/>
        <v>1154.8743271966837</v>
      </c>
      <c r="X123" s="9">
        <f t="shared" si="44"/>
        <v>7.7820513032262561E-14</v>
      </c>
      <c r="Y123" s="9">
        <f t="shared" si="45"/>
        <v>46863512948.028519</v>
      </c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</row>
    <row r="124" spans="1:76" s="4" customFormat="1" x14ac:dyDescent="0.3">
      <c r="A124" s="26">
        <v>366</v>
      </c>
      <c r="B124" s="26">
        <f t="shared" si="32"/>
        <v>6.1</v>
      </c>
      <c r="C124" s="26">
        <v>20</v>
      </c>
      <c r="D124" s="26">
        <f t="shared" si="33"/>
        <v>29.146000000000001</v>
      </c>
      <c r="E124" s="26">
        <f t="shared" si="34"/>
        <v>4.8576666666666667E-7</v>
      </c>
      <c r="F124" s="26">
        <v>21.1</v>
      </c>
      <c r="G124" s="26">
        <f t="shared" si="35"/>
        <v>294.10000000000002</v>
      </c>
      <c r="H124" s="26">
        <v>101.3</v>
      </c>
      <c r="I124" s="26">
        <f t="shared" si="36"/>
        <v>101300</v>
      </c>
      <c r="J124" s="26">
        <f t="shared" si="37"/>
        <v>2.0124824921938581E-5</v>
      </c>
      <c r="K124" s="20">
        <v>446.57920792079216</v>
      </c>
      <c r="L124" s="27">
        <f t="shared" si="38"/>
        <v>4.4657920792079214E-4</v>
      </c>
      <c r="M124" s="29">
        <f t="shared" si="24"/>
        <v>4.7762865441819992E-3</v>
      </c>
      <c r="N124" s="27">
        <f t="shared" si="39"/>
        <v>1.8816560292286957E-6</v>
      </c>
      <c r="O124" s="21">
        <f t="shared" si="26"/>
        <v>2.032E-3</v>
      </c>
      <c r="P124" s="21">
        <v>1.45111777225214E-10</v>
      </c>
      <c r="Q124" s="2">
        <v>0.32</v>
      </c>
      <c r="R124" s="27">
        <f t="shared" si="40"/>
        <v>132000</v>
      </c>
      <c r="S124" s="2">
        <v>5.3058450282772E-3</v>
      </c>
      <c r="T124" s="11">
        <v>0.11</v>
      </c>
      <c r="U124" s="30">
        <f t="shared" si="41"/>
        <v>111000.00000000001</v>
      </c>
      <c r="V124" s="30">
        <f t="shared" si="42"/>
        <v>49.570292079207931</v>
      </c>
      <c r="W124" s="11">
        <f t="shared" si="43"/>
        <v>1114.8549624989159</v>
      </c>
      <c r="X124" s="9">
        <f t="shared" si="44"/>
        <v>7.6278903039381205E-14</v>
      </c>
      <c r="Y124" s="9">
        <f t="shared" si="45"/>
        <v>45935155410.315361</v>
      </c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</row>
    <row r="125" spans="1:76" s="4" customFormat="1" x14ac:dyDescent="0.3">
      <c r="A125" s="26">
        <v>369</v>
      </c>
      <c r="B125" s="26">
        <f t="shared" si="32"/>
        <v>6.15</v>
      </c>
      <c r="C125" s="26">
        <v>20</v>
      </c>
      <c r="D125" s="26">
        <f t="shared" si="33"/>
        <v>29.146000000000001</v>
      </c>
      <c r="E125" s="26">
        <f t="shared" si="34"/>
        <v>4.8576666666666667E-7</v>
      </c>
      <c r="F125" s="26">
        <v>21.1</v>
      </c>
      <c r="G125" s="26">
        <f t="shared" si="35"/>
        <v>294.10000000000002</v>
      </c>
      <c r="H125" s="26">
        <v>101.3</v>
      </c>
      <c r="I125" s="26">
        <f t="shared" si="36"/>
        <v>101300</v>
      </c>
      <c r="J125" s="26">
        <f t="shared" si="37"/>
        <v>2.0124824921938581E-5</v>
      </c>
      <c r="K125" s="20">
        <v>453.06435643564356</v>
      </c>
      <c r="L125" s="27">
        <f t="shared" si="38"/>
        <v>4.5306435643564357E-4</v>
      </c>
      <c r="M125" s="29">
        <f t="shared" si="24"/>
        <v>4.7762865441819992E-3</v>
      </c>
      <c r="N125" s="27">
        <f t="shared" si="39"/>
        <v>1.9089811231582322E-6</v>
      </c>
      <c r="O125" s="21">
        <f t="shared" si="26"/>
        <v>2.032E-3</v>
      </c>
      <c r="P125" s="21">
        <v>1.45111777225214E-10</v>
      </c>
      <c r="Q125" s="2">
        <v>0.32</v>
      </c>
      <c r="R125" s="27">
        <f t="shared" si="40"/>
        <v>132000</v>
      </c>
      <c r="S125" s="2">
        <v>5.3058450282772E-3</v>
      </c>
      <c r="T125" s="11">
        <v>0.11</v>
      </c>
      <c r="U125" s="30">
        <f t="shared" si="41"/>
        <v>111000.00000000001</v>
      </c>
      <c r="V125" s="30">
        <f t="shared" si="42"/>
        <v>50.290143564356441</v>
      </c>
      <c r="W125" s="11">
        <f t="shared" si="43"/>
        <v>1143.9962897415662</v>
      </c>
      <c r="X125" s="9">
        <f t="shared" si="44"/>
        <v>7.7403846321115252E-14</v>
      </c>
      <c r="Y125" s="9">
        <f t="shared" si="45"/>
        <v>46612596254.575607</v>
      </c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</row>
    <row r="126" spans="1:76" s="4" customFormat="1" x14ac:dyDescent="0.3">
      <c r="A126" s="26">
        <v>372</v>
      </c>
      <c r="B126" s="26">
        <f t="shared" si="32"/>
        <v>6.2</v>
      </c>
      <c r="C126" s="26">
        <v>20</v>
      </c>
      <c r="D126" s="26">
        <f t="shared" si="33"/>
        <v>29.146000000000001</v>
      </c>
      <c r="E126" s="26">
        <f t="shared" si="34"/>
        <v>4.8576666666666667E-7</v>
      </c>
      <c r="F126" s="26">
        <v>21.1</v>
      </c>
      <c r="G126" s="26">
        <f t="shared" si="35"/>
        <v>294.10000000000002</v>
      </c>
      <c r="H126" s="26">
        <v>101.3</v>
      </c>
      <c r="I126" s="26">
        <f t="shared" si="36"/>
        <v>101300</v>
      </c>
      <c r="J126" s="26">
        <f t="shared" si="37"/>
        <v>2.0124824921938581E-5</v>
      </c>
      <c r="K126" s="20">
        <v>454.89603960396045</v>
      </c>
      <c r="L126" s="27">
        <f t="shared" si="38"/>
        <v>4.5489603960396045E-4</v>
      </c>
      <c r="M126" s="29">
        <f t="shared" si="24"/>
        <v>4.7762865441819992E-3</v>
      </c>
      <c r="N126" s="27">
        <f t="shared" si="39"/>
        <v>1.9166988977795519E-6</v>
      </c>
      <c r="O126" s="21">
        <f t="shared" si="26"/>
        <v>2.032E-3</v>
      </c>
      <c r="P126" s="21">
        <v>1.45111777225214E-10</v>
      </c>
      <c r="Q126" s="2">
        <v>0.32</v>
      </c>
      <c r="R126" s="27">
        <f t="shared" si="40"/>
        <v>132000</v>
      </c>
      <c r="S126" s="2">
        <v>5.3058450282772E-3</v>
      </c>
      <c r="T126" s="11">
        <v>0.11</v>
      </c>
      <c r="U126" s="30">
        <f t="shared" si="41"/>
        <v>111000.00000000001</v>
      </c>
      <c r="V126" s="30">
        <f t="shared" si="42"/>
        <v>50.493460396039616</v>
      </c>
      <c r="W126" s="11">
        <f t="shared" si="43"/>
        <v>1152.2906474431575</v>
      </c>
      <c r="X126" s="9">
        <f t="shared" si="44"/>
        <v>7.772170692026946E-14</v>
      </c>
      <c r="Y126" s="9">
        <f t="shared" si="45"/>
        <v>46804011907.386269</v>
      </c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</row>
    <row r="127" spans="1:76" s="4" customFormat="1" x14ac:dyDescent="0.3">
      <c r="A127" s="26">
        <v>375</v>
      </c>
      <c r="B127" s="26">
        <f t="shared" si="32"/>
        <v>6.25</v>
      </c>
      <c r="C127" s="26">
        <v>20</v>
      </c>
      <c r="D127" s="26">
        <f t="shared" si="33"/>
        <v>29.146000000000001</v>
      </c>
      <c r="E127" s="26">
        <f t="shared" si="34"/>
        <v>4.8576666666666667E-7</v>
      </c>
      <c r="F127" s="26">
        <v>21.1</v>
      </c>
      <c r="G127" s="26">
        <f t="shared" si="35"/>
        <v>294.10000000000002</v>
      </c>
      <c r="H127" s="26">
        <v>101.3</v>
      </c>
      <c r="I127" s="26">
        <f t="shared" si="36"/>
        <v>101300</v>
      </c>
      <c r="J127" s="26">
        <f t="shared" si="37"/>
        <v>2.0124824921938581E-5</v>
      </c>
      <c r="K127" s="20">
        <v>442.07425742574259</v>
      </c>
      <c r="L127" s="27">
        <f t="shared" si="38"/>
        <v>4.420742574257426E-4</v>
      </c>
      <c r="M127" s="29">
        <f t="shared" si="24"/>
        <v>4.7762865441819992E-3</v>
      </c>
      <c r="N127" s="27">
        <f t="shared" si="39"/>
        <v>1.8626744754303148E-6</v>
      </c>
      <c r="O127" s="21">
        <f t="shared" si="26"/>
        <v>2.032E-3</v>
      </c>
      <c r="P127" s="21">
        <v>1.45111777225214E-10</v>
      </c>
      <c r="Q127" s="2">
        <v>0.32</v>
      </c>
      <c r="R127" s="27">
        <f t="shared" si="40"/>
        <v>132000</v>
      </c>
      <c r="S127" s="2">
        <v>5.3058450282772E-3</v>
      </c>
      <c r="T127" s="11">
        <v>0.11</v>
      </c>
      <c r="U127" s="30">
        <f t="shared" si="41"/>
        <v>111000.00000000001</v>
      </c>
      <c r="V127" s="30">
        <f t="shared" si="42"/>
        <v>49.070242574257435</v>
      </c>
      <c r="W127" s="11">
        <f t="shared" si="43"/>
        <v>1094.8186180607997</v>
      </c>
      <c r="X127" s="9">
        <f t="shared" si="44"/>
        <v>7.5497868002070765E-14</v>
      </c>
      <c r="Y127" s="9">
        <f t="shared" si="45"/>
        <v>45464816110.847015</v>
      </c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</row>
    <row r="128" spans="1:76" s="4" customFormat="1" x14ac:dyDescent="0.3">
      <c r="A128" s="26">
        <v>378</v>
      </c>
      <c r="B128" s="26">
        <f t="shared" si="32"/>
        <v>6.3</v>
      </c>
      <c r="C128" s="26">
        <v>20</v>
      </c>
      <c r="D128" s="26">
        <f t="shared" si="33"/>
        <v>29.146000000000001</v>
      </c>
      <c r="E128" s="26">
        <f t="shared" si="34"/>
        <v>4.8576666666666667E-7</v>
      </c>
      <c r="F128" s="26">
        <v>21.1</v>
      </c>
      <c r="G128" s="26">
        <f t="shared" si="35"/>
        <v>294.10000000000002</v>
      </c>
      <c r="H128" s="26">
        <v>101.3</v>
      </c>
      <c r="I128" s="26">
        <f t="shared" si="36"/>
        <v>101300</v>
      </c>
      <c r="J128" s="26">
        <f t="shared" si="37"/>
        <v>2.0124824921938581E-5</v>
      </c>
      <c r="K128" s="20">
        <v>446.33168316831689</v>
      </c>
      <c r="L128" s="27">
        <f t="shared" si="38"/>
        <v>4.463316831683169E-4</v>
      </c>
      <c r="M128" s="29">
        <f t="shared" si="24"/>
        <v>4.7762865441819992E-3</v>
      </c>
      <c r="N128" s="27">
        <f t="shared" si="39"/>
        <v>1.8806130867123012E-6</v>
      </c>
      <c r="O128" s="21">
        <f t="shared" si="26"/>
        <v>2.032E-3</v>
      </c>
      <c r="P128" s="21">
        <v>1.45111777225214E-10</v>
      </c>
      <c r="Q128" s="2">
        <v>0.32</v>
      </c>
      <c r="R128" s="27">
        <f t="shared" si="40"/>
        <v>132000</v>
      </c>
      <c r="S128" s="2">
        <v>5.3058450282772E-3</v>
      </c>
      <c r="T128" s="11">
        <v>0.11</v>
      </c>
      <c r="U128" s="30">
        <f t="shared" si="41"/>
        <v>111000.00000000001</v>
      </c>
      <c r="V128" s="30">
        <f t="shared" si="42"/>
        <v>49.542816831683183</v>
      </c>
      <c r="W128" s="11">
        <f t="shared" si="43"/>
        <v>1113.7496594265783</v>
      </c>
      <c r="X128" s="9">
        <f t="shared" si="44"/>
        <v>7.6235980252177403E-14</v>
      </c>
      <c r="Y128" s="9">
        <f t="shared" si="45"/>
        <v>45909307307.861237</v>
      </c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</row>
    <row r="129" spans="1:76" s="4" customFormat="1" x14ac:dyDescent="0.3">
      <c r="A129" s="26">
        <v>381</v>
      </c>
      <c r="B129" s="26">
        <f t="shared" si="32"/>
        <v>6.35</v>
      </c>
      <c r="C129" s="26">
        <v>20</v>
      </c>
      <c r="D129" s="26">
        <f t="shared" si="33"/>
        <v>29.146000000000001</v>
      </c>
      <c r="E129" s="26">
        <f t="shared" si="34"/>
        <v>4.8576666666666667E-7</v>
      </c>
      <c r="F129" s="26">
        <v>21.1</v>
      </c>
      <c r="G129" s="26">
        <f t="shared" si="35"/>
        <v>294.10000000000002</v>
      </c>
      <c r="H129" s="26">
        <v>101.3</v>
      </c>
      <c r="I129" s="26">
        <f t="shared" si="36"/>
        <v>101300</v>
      </c>
      <c r="J129" s="26">
        <f t="shared" si="37"/>
        <v>2.0124824921938581E-5</v>
      </c>
      <c r="K129" s="20">
        <v>457.91584158415844</v>
      </c>
      <c r="L129" s="27">
        <f t="shared" si="38"/>
        <v>4.5791584158415846E-4</v>
      </c>
      <c r="M129" s="29">
        <f t="shared" si="24"/>
        <v>4.7762865441819992E-3</v>
      </c>
      <c r="N129" s="27">
        <f t="shared" si="39"/>
        <v>1.9294227964795653E-6</v>
      </c>
      <c r="O129" s="21">
        <f t="shared" si="26"/>
        <v>2.032E-3</v>
      </c>
      <c r="P129" s="21">
        <v>1.45111777225214E-10</v>
      </c>
      <c r="Q129" s="2">
        <v>0.32</v>
      </c>
      <c r="R129" s="27">
        <f t="shared" si="40"/>
        <v>132000</v>
      </c>
      <c r="S129" s="2">
        <v>5.3058450282772E-3</v>
      </c>
      <c r="T129" s="11">
        <v>0.11</v>
      </c>
      <c r="U129" s="30">
        <f t="shared" si="41"/>
        <v>111000.00000000001</v>
      </c>
      <c r="V129" s="30">
        <f t="shared" si="42"/>
        <v>50.828658415841595</v>
      </c>
      <c r="W129" s="11">
        <f t="shared" si="43"/>
        <v>1166.0262527191444</v>
      </c>
      <c r="X129" s="9">
        <f t="shared" si="44"/>
        <v>7.8245871916418451E-14</v>
      </c>
      <c r="Y129" s="9">
        <f t="shared" si="45"/>
        <v>47119664068.067192</v>
      </c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</row>
    <row r="130" spans="1:76" s="4" customFormat="1" x14ac:dyDescent="0.3">
      <c r="A130" s="26">
        <v>384</v>
      </c>
      <c r="B130" s="26">
        <f t="shared" si="32"/>
        <v>6.4</v>
      </c>
      <c r="C130" s="26">
        <v>20</v>
      </c>
      <c r="D130" s="26">
        <f t="shared" si="33"/>
        <v>29.146000000000001</v>
      </c>
      <c r="E130" s="26">
        <f t="shared" si="34"/>
        <v>4.8576666666666667E-7</v>
      </c>
      <c r="F130" s="26">
        <v>21.1</v>
      </c>
      <c r="G130" s="26">
        <f t="shared" si="35"/>
        <v>294.10000000000002</v>
      </c>
      <c r="H130" s="26">
        <v>101.3</v>
      </c>
      <c r="I130" s="26">
        <f t="shared" si="36"/>
        <v>101300</v>
      </c>
      <c r="J130" s="26">
        <f t="shared" si="37"/>
        <v>2.0124824921938581E-5</v>
      </c>
      <c r="K130" s="20">
        <v>446.45544554455444</v>
      </c>
      <c r="L130" s="27">
        <f t="shared" si="38"/>
        <v>4.4645544554455444E-4</v>
      </c>
      <c r="M130" s="29">
        <f t="shared" si="24"/>
        <v>4.7762865441819992E-3</v>
      </c>
      <c r="N130" s="27">
        <f t="shared" si="39"/>
        <v>1.8811345579704979E-6</v>
      </c>
      <c r="O130" s="21">
        <f t="shared" si="26"/>
        <v>2.032E-3</v>
      </c>
      <c r="P130" s="21">
        <v>1.45111777225214E-10</v>
      </c>
      <c r="Q130" s="2">
        <v>0.32</v>
      </c>
      <c r="R130" s="27">
        <f t="shared" si="40"/>
        <v>132000</v>
      </c>
      <c r="S130" s="2">
        <v>5.3058450282772E-3</v>
      </c>
      <c r="T130" s="11">
        <v>0.11</v>
      </c>
      <c r="U130" s="30">
        <f t="shared" si="41"/>
        <v>111000.00000000001</v>
      </c>
      <c r="V130" s="30">
        <f t="shared" si="42"/>
        <v>49.55655445544555</v>
      </c>
      <c r="W130" s="11">
        <f t="shared" si="43"/>
        <v>1114.3022469537457</v>
      </c>
      <c r="X130" s="9">
        <f t="shared" si="44"/>
        <v>7.6257441517867414E-14</v>
      </c>
      <c r="Y130" s="9">
        <f t="shared" si="45"/>
        <v>45922231282.059761</v>
      </c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</row>
    <row r="131" spans="1:76" s="4" customFormat="1" x14ac:dyDescent="0.3">
      <c r="A131" s="26">
        <v>387</v>
      </c>
      <c r="B131" s="26">
        <f t="shared" si="32"/>
        <v>6.45</v>
      </c>
      <c r="C131" s="26">
        <v>20</v>
      </c>
      <c r="D131" s="26">
        <f t="shared" si="33"/>
        <v>29.146000000000001</v>
      </c>
      <c r="E131" s="26">
        <f t="shared" si="34"/>
        <v>4.8576666666666667E-7</v>
      </c>
      <c r="F131" s="26">
        <v>21.1</v>
      </c>
      <c r="G131" s="26">
        <f t="shared" si="35"/>
        <v>294.10000000000002</v>
      </c>
      <c r="H131" s="26">
        <v>101.3</v>
      </c>
      <c r="I131" s="26">
        <f t="shared" si="36"/>
        <v>101300</v>
      </c>
      <c r="J131" s="26">
        <f t="shared" si="37"/>
        <v>2.0124824921938581E-5</v>
      </c>
      <c r="K131" s="20">
        <v>455.56435643564362</v>
      </c>
      <c r="L131" s="27">
        <f t="shared" si="38"/>
        <v>4.5556435643564363E-4</v>
      </c>
      <c r="M131" s="29">
        <f t="shared" ref="M131:M149" si="46">(3.142*3.07*3.07*25.4*25.4)/(4*1000000)</f>
        <v>4.7762865441819992E-3</v>
      </c>
      <c r="N131" s="27">
        <f t="shared" si="39"/>
        <v>1.9195148425738172E-6</v>
      </c>
      <c r="O131" s="21">
        <f t="shared" ref="O131:O149" si="47">(2.032/1000)</f>
        <v>2.032E-3</v>
      </c>
      <c r="P131" s="21">
        <v>1.45111777225214E-10</v>
      </c>
      <c r="Q131" s="2">
        <v>0.32</v>
      </c>
      <c r="R131" s="27">
        <f t="shared" si="40"/>
        <v>132000</v>
      </c>
      <c r="S131" s="2">
        <v>5.3058450282772E-3</v>
      </c>
      <c r="T131" s="11">
        <v>0.11</v>
      </c>
      <c r="U131" s="30">
        <f t="shared" si="41"/>
        <v>111000.00000000001</v>
      </c>
      <c r="V131" s="30">
        <f t="shared" si="42"/>
        <v>50.567643564356452</v>
      </c>
      <c r="W131" s="11">
        <f t="shared" si="43"/>
        <v>1155.3239388738048</v>
      </c>
      <c r="X131" s="9">
        <f t="shared" si="44"/>
        <v>7.7837697266464697E-14</v>
      </c>
      <c r="Y131" s="9">
        <f t="shared" si="45"/>
        <v>46873861293.865044</v>
      </c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</row>
    <row r="132" spans="1:76" s="4" customFormat="1" x14ac:dyDescent="0.3">
      <c r="A132" s="26">
        <v>390</v>
      </c>
      <c r="B132" s="26">
        <f t="shared" si="32"/>
        <v>6.5</v>
      </c>
      <c r="C132" s="26">
        <v>20</v>
      </c>
      <c r="D132" s="26">
        <f t="shared" si="33"/>
        <v>29.146000000000001</v>
      </c>
      <c r="E132" s="26">
        <f t="shared" si="34"/>
        <v>4.8576666666666667E-7</v>
      </c>
      <c r="F132" s="26">
        <v>21.1</v>
      </c>
      <c r="G132" s="26">
        <f t="shared" si="35"/>
        <v>294.10000000000002</v>
      </c>
      <c r="H132" s="26">
        <v>101.3</v>
      </c>
      <c r="I132" s="26">
        <f t="shared" si="36"/>
        <v>101300</v>
      </c>
      <c r="J132" s="26">
        <f t="shared" si="37"/>
        <v>2.0124824921938581E-5</v>
      </c>
      <c r="K132" s="20">
        <v>442.02475247524757</v>
      </c>
      <c r="L132" s="27">
        <f t="shared" si="38"/>
        <v>4.4202475247524759E-4</v>
      </c>
      <c r="M132" s="29">
        <f t="shared" si="46"/>
        <v>4.7762865441819992E-3</v>
      </c>
      <c r="N132" s="27">
        <f t="shared" si="39"/>
        <v>1.8624658869270364E-6</v>
      </c>
      <c r="O132" s="21">
        <f t="shared" si="47"/>
        <v>2.032E-3</v>
      </c>
      <c r="P132" s="21">
        <v>1.45111777225214E-10</v>
      </c>
      <c r="Q132" s="2">
        <v>0.32</v>
      </c>
      <c r="R132" s="27">
        <f t="shared" si="40"/>
        <v>132000</v>
      </c>
      <c r="S132" s="2">
        <v>5.3058450282772E-3</v>
      </c>
      <c r="T132" s="11">
        <v>0.11</v>
      </c>
      <c r="U132" s="30">
        <f t="shared" si="41"/>
        <v>111000.00000000001</v>
      </c>
      <c r="V132" s="30">
        <f t="shared" si="42"/>
        <v>49.064747524752491</v>
      </c>
      <c r="W132" s="11">
        <f t="shared" si="43"/>
        <v>1094.5993811771589</v>
      </c>
      <c r="X132" s="9">
        <f t="shared" si="44"/>
        <v>7.5489287071222475E-14</v>
      </c>
      <c r="Y132" s="9">
        <f t="shared" si="45"/>
        <v>45459648674.290176</v>
      </c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</row>
    <row r="133" spans="1:76" s="4" customFormat="1" x14ac:dyDescent="0.3">
      <c r="A133" s="26">
        <v>393</v>
      </c>
      <c r="B133" s="26">
        <f t="shared" si="32"/>
        <v>6.55</v>
      </c>
      <c r="C133" s="26">
        <v>20</v>
      </c>
      <c r="D133" s="26">
        <f t="shared" si="33"/>
        <v>29.146000000000001</v>
      </c>
      <c r="E133" s="26">
        <f t="shared" si="34"/>
        <v>4.8576666666666667E-7</v>
      </c>
      <c r="F133" s="26">
        <v>21.1</v>
      </c>
      <c r="G133" s="26">
        <f t="shared" si="35"/>
        <v>294.10000000000002</v>
      </c>
      <c r="H133" s="26">
        <v>101.3</v>
      </c>
      <c r="I133" s="26">
        <f t="shared" si="36"/>
        <v>101300</v>
      </c>
      <c r="J133" s="26">
        <f t="shared" si="37"/>
        <v>2.0124824921938581E-5</v>
      </c>
      <c r="K133" s="20">
        <v>483.48514851485157</v>
      </c>
      <c r="L133" s="27">
        <f t="shared" si="38"/>
        <v>4.8348514851485159E-4</v>
      </c>
      <c r="M133" s="29">
        <f t="shared" si="46"/>
        <v>4.7762865441819992E-3</v>
      </c>
      <c r="N133" s="27">
        <f t="shared" si="39"/>
        <v>2.0371587584231212E-6</v>
      </c>
      <c r="O133" s="21">
        <f t="shared" si="47"/>
        <v>2.032E-3</v>
      </c>
      <c r="P133" s="21">
        <v>1.45111777225214E-10</v>
      </c>
      <c r="Q133" s="2">
        <v>0.32</v>
      </c>
      <c r="R133" s="27">
        <f t="shared" si="40"/>
        <v>132000</v>
      </c>
      <c r="S133" s="2">
        <v>5.3058450282772E-3</v>
      </c>
      <c r="T133" s="11">
        <v>0.11</v>
      </c>
      <c r="U133" s="30">
        <f t="shared" si="41"/>
        <v>111000.00000000001</v>
      </c>
      <c r="V133" s="30">
        <f t="shared" si="42"/>
        <v>53.666851485148534</v>
      </c>
      <c r="W133" s="11">
        <f t="shared" si="43"/>
        <v>1285.3728828140629</v>
      </c>
      <c r="X133" s="9">
        <f t="shared" si="44"/>
        <v>8.2690429591330403E-14</v>
      </c>
      <c r="Y133" s="9">
        <f t="shared" si="45"/>
        <v>49796176699.89917</v>
      </c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</row>
    <row r="134" spans="1:76" s="4" customFormat="1" x14ac:dyDescent="0.3">
      <c r="A134" s="26">
        <v>396</v>
      </c>
      <c r="B134" s="26">
        <f t="shared" si="32"/>
        <v>6.6</v>
      </c>
      <c r="C134" s="26">
        <v>20</v>
      </c>
      <c r="D134" s="26">
        <f t="shared" si="33"/>
        <v>29.146000000000001</v>
      </c>
      <c r="E134" s="26">
        <f t="shared" si="34"/>
        <v>4.8576666666666667E-7</v>
      </c>
      <c r="F134" s="26">
        <v>21.1</v>
      </c>
      <c r="G134" s="26">
        <f t="shared" si="35"/>
        <v>294.10000000000002</v>
      </c>
      <c r="H134" s="26">
        <v>101.3</v>
      </c>
      <c r="I134" s="26">
        <f t="shared" si="36"/>
        <v>101300</v>
      </c>
      <c r="J134" s="26">
        <f t="shared" si="37"/>
        <v>2.0124824921938581E-5</v>
      </c>
      <c r="K134" s="20">
        <v>459.17821782178214</v>
      </c>
      <c r="L134" s="27">
        <f t="shared" si="38"/>
        <v>4.5917821782178212E-4</v>
      </c>
      <c r="M134" s="29">
        <f t="shared" si="46"/>
        <v>4.7762865441819992E-3</v>
      </c>
      <c r="N134" s="27">
        <f t="shared" si="39"/>
        <v>1.9347418033131769E-6</v>
      </c>
      <c r="O134" s="21">
        <f t="shared" si="47"/>
        <v>2.032E-3</v>
      </c>
      <c r="P134" s="21">
        <v>1.45111777225214E-10</v>
      </c>
      <c r="Q134" s="2">
        <v>0.32</v>
      </c>
      <c r="R134" s="27">
        <f t="shared" si="40"/>
        <v>132000</v>
      </c>
      <c r="S134" s="2">
        <v>5.3058450282772E-3</v>
      </c>
      <c r="T134" s="11">
        <v>0.11</v>
      </c>
      <c r="U134" s="30">
        <f t="shared" si="41"/>
        <v>111000.00000000001</v>
      </c>
      <c r="V134" s="30">
        <f t="shared" si="42"/>
        <v>50.968782178217822</v>
      </c>
      <c r="W134" s="11">
        <f t="shared" si="43"/>
        <v>1171.7907310203648</v>
      </c>
      <c r="X134" s="9">
        <f t="shared" si="44"/>
        <v>7.8465036214046063E-14</v>
      </c>
      <c r="Y134" s="9">
        <f t="shared" si="45"/>
        <v>47251644808.098541</v>
      </c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</row>
    <row r="135" spans="1:76" s="4" customFormat="1" x14ac:dyDescent="0.3">
      <c r="A135" s="26">
        <v>399</v>
      </c>
      <c r="B135" s="26">
        <f t="shared" si="32"/>
        <v>6.65</v>
      </c>
      <c r="C135" s="26">
        <v>20</v>
      </c>
      <c r="D135" s="26">
        <f t="shared" si="33"/>
        <v>29.146000000000001</v>
      </c>
      <c r="E135" s="26">
        <f t="shared" si="34"/>
        <v>4.8576666666666667E-7</v>
      </c>
      <c r="F135" s="26">
        <v>21.1</v>
      </c>
      <c r="G135" s="26">
        <f t="shared" si="35"/>
        <v>294.10000000000002</v>
      </c>
      <c r="H135" s="26">
        <v>101.3</v>
      </c>
      <c r="I135" s="26">
        <f t="shared" si="36"/>
        <v>101300</v>
      </c>
      <c r="J135" s="26">
        <f t="shared" si="37"/>
        <v>2.0124824921938581E-5</v>
      </c>
      <c r="K135" s="20">
        <v>453.36138613861385</v>
      </c>
      <c r="L135" s="27">
        <f t="shared" si="38"/>
        <v>4.5336138613861387E-4</v>
      </c>
      <c r="M135" s="29">
        <f t="shared" si="46"/>
        <v>4.7762865441819992E-3</v>
      </c>
      <c r="N135" s="27">
        <f t="shared" si="39"/>
        <v>1.9102326541779057E-6</v>
      </c>
      <c r="O135" s="21">
        <f t="shared" si="47"/>
        <v>2.032E-3</v>
      </c>
      <c r="P135" s="21">
        <v>1.45111777225214E-10</v>
      </c>
      <c r="Q135" s="2">
        <v>0.32</v>
      </c>
      <c r="R135" s="27">
        <f t="shared" si="40"/>
        <v>132000</v>
      </c>
      <c r="S135" s="2">
        <v>5.3058450282772E-3</v>
      </c>
      <c r="T135" s="11">
        <v>0.11</v>
      </c>
      <c r="U135" s="30">
        <f t="shared" si="41"/>
        <v>111000.00000000001</v>
      </c>
      <c r="V135" s="30">
        <f t="shared" si="42"/>
        <v>50.323113861386148</v>
      </c>
      <c r="W135" s="11">
        <f t="shared" si="43"/>
        <v>1145.3394183875121</v>
      </c>
      <c r="X135" s="9">
        <f t="shared" si="44"/>
        <v>7.7455387419703508E-14</v>
      </c>
      <c r="Y135" s="9">
        <f t="shared" si="45"/>
        <v>46643634304.145454</v>
      </c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</row>
    <row r="136" spans="1:76" s="4" customFormat="1" x14ac:dyDescent="0.3">
      <c r="A136" s="26">
        <v>402</v>
      </c>
      <c r="B136" s="26">
        <f t="shared" si="32"/>
        <v>6.7</v>
      </c>
      <c r="C136" s="26">
        <v>20</v>
      </c>
      <c r="D136" s="26">
        <f t="shared" si="33"/>
        <v>29.146000000000001</v>
      </c>
      <c r="E136" s="26">
        <f t="shared" si="34"/>
        <v>4.8576666666666667E-7</v>
      </c>
      <c r="F136" s="26">
        <v>21.1</v>
      </c>
      <c r="G136" s="26">
        <f t="shared" si="35"/>
        <v>294.10000000000002</v>
      </c>
      <c r="H136" s="26">
        <v>101.3</v>
      </c>
      <c r="I136" s="26">
        <f t="shared" si="36"/>
        <v>101300</v>
      </c>
      <c r="J136" s="26">
        <f t="shared" si="37"/>
        <v>2.0124824921938581E-5</v>
      </c>
      <c r="K136" s="20">
        <v>448.23762376237624</v>
      </c>
      <c r="L136" s="27">
        <f t="shared" si="38"/>
        <v>4.4823762376237626E-4</v>
      </c>
      <c r="M136" s="29">
        <f t="shared" si="46"/>
        <v>4.7762865441819992E-3</v>
      </c>
      <c r="N136" s="27">
        <f t="shared" si="39"/>
        <v>1.888643744088539E-6</v>
      </c>
      <c r="O136" s="21">
        <f t="shared" si="47"/>
        <v>2.032E-3</v>
      </c>
      <c r="P136" s="21">
        <v>1.45111777225214E-10</v>
      </c>
      <c r="Q136" s="2">
        <v>0.32</v>
      </c>
      <c r="R136" s="27">
        <f t="shared" si="40"/>
        <v>132000</v>
      </c>
      <c r="S136" s="2">
        <v>5.3058450282772E-3</v>
      </c>
      <c r="T136" s="11">
        <v>0.11</v>
      </c>
      <c r="U136" s="30">
        <f t="shared" si="41"/>
        <v>111000.00000000001</v>
      </c>
      <c r="V136" s="30">
        <f t="shared" si="42"/>
        <v>49.754376237623774</v>
      </c>
      <c r="W136" s="11">
        <f t="shared" si="43"/>
        <v>1122.2737005157928</v>
      </c>
      <c r="X136" s="9">
        <f t="shared" si="44"/>
        <v>7.6566512141481956E-14</v>
      </c>
      <c r="Y136" s="9">
        <f t="shared" si="45"/>
        <v>46108353611.600433</v>
      </c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</row>
    <row r="137" spans="1:76" s="4" customFormat="1" x14ac:dyDescent="0.3">
      <c r="A137" s="26">
        <v>405</v>
      </c>
      <c r="B137" s="26">
        <f t="shared" si="32"/>
        <v>6.75</v>
      </c>
      <c r="C137" s="26">
        <v>20</v>
      </c>
      <c r="D137" s="26">
        <f t="shared" si="33"/>
        <v>29.146000000000001</v>
      </c>
      <c r="E137" s="26">
        <f t="shared" si="34"/>
        <v>4.8576666666666667E-7</v>
      </c>
      <c r="F137" s="26">
        <v>21.1</v>
      </c>
      <c r="G137" s="26">
        <f t="shared" si="35"/>
        <v>294.10000000000002</v>
      </c>
      <c r="H137" s="26">
        <v>101.3</v>
      </c>
      <c r="I137" s="26">
        <f t="shared" si="36"/>
        <v>101300</v>
      </c>
      <c r="J137" s="26">
        <f t="shared" si="37"/>
        <v>2.0124824921938581E-5</v>
      </c>
      <c r="K137" s="20">
        <v>444.5</v>
      </c>
      <c r="L137" s="27">
        <f t="shared" si="38"/>
        <v>4.4450000000000002E-4</v>
      </c>
      <c r="M137" s="29">
        <f t="shared" si="46"/>
        <v>4.7762865441819992E-3</v>
      </c>
      <c r="N137" s="27">
        <f t="shared" si="39"/>
        <v>1.8728953120909811E-6</v>
      </c>
      <c r="O137" s="21">
        <f t="shared" si="47"/>
        <v>2.032E-3</v>
      </c>
      <c r="P137" s="21">
        <v>1.45111777225214E-10</v>
      </c>
      <c r="Q137" s="2">
        <v>0.32</v>
      </c>
      <c r="R137" s="27">
        <f t="shared" si="40"/>
        <v>132000</v>
      </c>
      <c r="S137" s="2">
        <v>5.3058450282772E-3</v>
      </c>
      <c r="T137" s="11">
        <v>0.11</v>
      </c>
      <c r="U137" s="30">
        <f t="shared" si="41"/>
        <v>111000.00000000001</v>
      </c>
      <c r="V137" s="30">
        <f t="shared" si="42"/>
        <v>49.339500000000008</v>
      </c>
      <c r="W137" s="11">
        <f t="shared" si="43"/>
        <v>1105.5863338321606</v>
      </c>
      <c r="X137" s="9">
        <f t="shared" si="44"/>
        <v>7.5918383388657102E-14</v>
      </c>
      <c r="Y137" s="9">
        <f t="shared" si="45"/>
        <v>45718050476.649307</v>
      </c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</row>
    <row r="138" spans="1:76" s="4" customFormat="1" x14ac:dyDescent="0.3">
      <c r="A138" s="26">
        <v>408</v>
      </c>
      <c r="B138" s="26">
        <f t="shared" si="32"/>
        <v>6.8</v>
      </c>
      <c r="C138" s="26">
        <v>20</v>
      </c>
      <c r="D138" s="26">
        <f t="shared" si="33"/>
        <v>29.146000000000001</v>
      </c>
      <c r="E138" s="26">
        <f t="shared" si="34"/>
        <v>4.8576666666666667E-7</v>
      </c>
      <c r="F138" s="26">
        <v>21.1</v>
      </c>
      <c r="G138" s="26">
        <f t="shared" si="35"/>
        <v>294.10000000000002</v>
      </c>
      <c r="H138" s="26">
        <v>101.3</v>
      </c>
      <c r="I138" s="26">
        <f t="shared" si="36"/>
        <v>101300</v>
      </c>
      <c r="J138" s="26">
        <f t="shared" si="37"/>
        <v>2.0124824921938581E-5</v>
      </c>
      <c r="K138" s="20">
        <v>446.28217821782187</v>
      </c>
      <c r="L138" s="27">
        <f t="shared" si="38"/>
        <v>4.4628217821782184E-4</v>
      </c>
      <c r="M138" s="29">
        <f t="shared" si="46"/>
        <v>4.7762865441819992E-3</v>
      </c>
      <c r="N138" s="27">
        <f t="shared" si="39"/>
        <v>1.8804044982090221E-6</v>
      </c>
      <c r="O138" s="21">
        <f t="shared" si="47"/>
        <v>2.032E-3</v>
      </c>
      <c r="P138" s="21">
        <v>1.45111777225214E-10</v>
      </c>
      <c r="Q138" s="2">
        <v>0.32</v>
      </c>
      <c r="R138" s="27">
        <f t="shared" si="40"/>
        <v>132000</v>
      </c>
      <c r="S138" s="2">
        <v>5.3058450282772E-3</v>
      </c>
      <c r="T138" s="11">
        <v>0.11</v>
      </c>
      <c r="U138" s="30">
        <f t="shared" si="41"/>
        <v>111000.00000000001</v>
      </c>
      <c r="V138" s="30">
        <f t="shared" si="42"/>
        <v>49.537321782178232</v>
      </c>
      <c r="W138" s="11">
        <f t="shared" si="43"/>
        <v>1113.5286602614144</v>
      </c>
      <c r="X138" s="9">
        <f t="shared" si="44"/>
        <v>7.6227395817517574E-14</v>
      </c>
      <c r="Y138" s="9">
        <f t="shared" si="45"/>
        <v>45904137761.309082</v>
      </c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1:76" s="4" customFormat="1" x14ac:dyDescent="0.3">
      <c r="A139" s="26">
        <v>411</v>
      </c>
      <c r="B139" s="26">
        <f t="shared" si="32"/>
        <v>6.85</v>
      </c>
      <c r="C139" s="26">
        <v>20</v>
      </c>
      <c r="D139" s="26">
        <f t="shared" si="33"/>
        <v>29.146000000000001</v>
      </c>
      <c r="E139" s="26">
        <f t="shared" si="34"/>
        <v>4.8576666666666667E-7</v>
      </c>
      <c r="F139" s="26">
        <v>21.1</v>
      </c>
      <c r="G139" s="26">
        <f t="shared" si="35"/>
        <v>294.10000000000002</v>
      </c>
      <c r="H139" s="26">
        <v>101.3</v>
      </c>
      <c r="I139" s="26">
        <f t="shared" si="36"/>
        <v>101300</v>
      </c>
      <c r="J139" s="26">
        <f t="shared" si="37"/>
        <v>2.0124824921938581E-5</v>
      </c>
      <c r="K139" s="20">
        <v>445.24257425742576</v>
      </c>
      <c r="L139" s="27">
        <f t="shared" si="38"/>
        <v>4.4524257425742578E-4</v>
      </c>
      <c r="M139" s="29">
        <f t="shared" si="46"/>
        <v>4.7762865441819992E-3</v>
      </c>
      <c r="N139" s="27">
        <f t="shared" si="39"/>
        <v>1.876024139640165E-6</v>
      </c>
      <c r="O139" s="21">
        <f t="shared" si="47"/>
        <v>2.032E-3</v>
      </c>
      <c r="P139" s="21">
        <v>1.45111777225214E-10</v>
      </c>
      <c r="Q139" s="2">
        <v>0.32</v>
      </c>
      <c r="R139" s="27">
        <f t="shared" si="40"/>
        <v>132000</v>
      </c>
      <c r="S139" s="2">
        <v>5.3058450282772E-3</v>
      </c>
      <c r="T139" s="11">
        <v>0.11</v>
      </c>
      <c r="U139" s="30">
        <f t="shared" si="41"/>
        <v>111000.00000000001</v>
      </c>
      <c r="V139" s="30">
        <f t="shared" si="42"/>
        <v>49.421925742574267</v>
      </c>
      <c r="W139" s="11">
        <f t="shared" si="43"/>
        <v>1108.8924097840654</v>
      </c>
      <c r="X139" s="9">
        <f t="shared" si="44"/>
        <v>7.60471321352149E-14</v>
      </c>
      <c r="Y139" s="9">
        <f t="shared" si="45"/>
        <v>45795582971.826416</v>
      </c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1:76" s="4" customFormat="1" x14ac:dyDescent="0.3">
      <c r="A140" s="26">
        <v>414</v>
      </c>
      <c r="B140" s="26">
        <f t="shared" si="32"/>
        <v>6.9</v>
      </c>
      <c r="C140" s="26">
        <v>20</v>
      </c>
      <c r="D140" s="26">
        <f t="shared" si="33"/>
        <v>29.146000000000001</v>
      </c>
      <c r="E140" s="26">
        <f t="shared" si="34"/>
        <v>4.8576666666666667E-7</v>
      </c>
      <c r="F140" s="26">
        <v>21.1</v>
      </c>
      <c r="G140" s="26">
        <f t="shared" si="35"/>
        <v>294.10000000000002</v>
      </c>
      <c r="H140" s="26">
        <v>101.3</v>
      </c>
      <c r="I140" s="26">
        <f t="shared" si="36"/>
        <v>101300</v>
      </c>
      <c r="J140" s="26">
        <f t="shared" si="37"/>
        <v>2.0124824921938581E-5</v>
      </c>
      <c r="K140" s="20">
        <v>452.04950495049513</v>
      </c>
      <c r="L140" s="27">
        <f t="shared" si="38"/>
        <v>4.5204950495049515E-4</v>
      </c>
      <c r="M140" s="29">
        <f t="shared" si="46"/>
        <v>4.7762865441819992E-3</v>
      </c>
      <c r="N140" s="27">
        <f t="shared" si="39"/>
        <v>1.9047050588410149E-6</v>
      </c>
      <c r="O140" s="21">
        <f t="shared" si="47"/>
        <v>2.032E-3</v>
      </c>
      <c r="P140" s="21">
        <v>1.45111777225214E-10</v>
      </c>
      <c r="Q140" s="2">
        <v>0.32</v>
      </c>
      <c r="R140" s="27">
        <f t="shared" si="40"/>
        <v>132000</v>
      </c>
      <c r="S140" s="2">
        <v>5.3058450282772E-3</v>
      </c>
      <c r="T140" s="11">
        <v>0.11</v>
      </c>
      <c r="U140" s="30">
        <f t="shared" si="41"/>
        <v>111000.00000000001</v>
      </c>
      <c r="V140" s="30">
        <f t="shared" si="42"/>
        <v>50.177495049504969</v>
      </c>
      <c r="W140" s="11">
        <f t="shared" si="43"/>
        <v>1139.4128239737011</v>
      </c>
      <c r="X140" s="9">
        <f t="shared" si="44"/>
        <v>7.7227758830028125E-14</v>
      </c>
      <c r="Y140" s="9">
        <f t="shared" si="45"/>
        <v>46506556367.44294</v>
      </c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1:76" s="4" customFormat="1" x14ac:dyDescent="0.3">
      <c r="A141" s="26">
        <v>417</v>
      </c>
      <c r="B141" s="26">
        <f t="shared" si="32"/>
        <v>6.95</v>
      </c>
      <c r="C141" s="26">
        <v>20</v>
      </c>
      <c r="D141" s="26">
        <f t="shared" si="33"/>
        <v>29.146000000000001</v>
      </c>
      <c r="E141" s="26">
        <f t="shared" si="34"/>
        <v>4.8576666666666667E-7</v>
      </c>
      <c r="F141" s="26">
        <v>21.1</v>
      </c>
      <c r="G141" s="26">
        <f t="shared" si="35"/>
        <v>294.10000000000002</v>
      </c>
      <c r="H141" s="26">
        <v>101.3</v>
      </c>
      <c r="I141" s="26">
        <f t="shared" si="36"/>
        <v>101300</v>
      </c>
      <c r="J141" s="26">
        <f t="shared" si="37"/>
        <v>2.0124824921938581E-5</v>
      </c>
      <c r="K141" s="20">
        <v>448.18811881188122</v>
      </c>
      <c r="L141" s="27">
        <f t="shared" si="38"/>
        <v>4.481881188118812E-4</v>
      </c>
      <c r="M141" s="29">
        <f t="shared" si="46"/>
        <v>4.7762865441819992E-3</v>
      </c>
      <c r="N141" s="27">
        <f t="shared" si="39"/>
        <v>1.8884351555852599E-6</v>
      </c>
      <c r="O141" s="21">
        <f t="shared" si="47"/>
        <v>2.032E-3</v>
      </c>
      <c r="P141" s="21">
        <v>1.45111777225214E-10</v>
      </c>
      <c r="Q141" s="2">
        <v>0.32</v>
      </c>
      <c r="R141" s="27">
        <f t="shared" si="40"/>
        <v>132000</v>
      </c>
      <c r="S141" s="2">
        <v>5.3058450282772E-3</v>
      </c>
      <c r="T141" s="11">
        <v>0.11</v>
      </c>
      <c r="U141" s="30">
        <f t="shared" si="41"/>
        <v>111000.00000000001</v>
      </c>
      <c r="V141" s="30">
        <f t="shared" si="42"/>
        <v>49.748881188118823</v>
      </c>
      <c r="W141" s="11">
        <f t="shared" si="43"/>
        <v>1122.0519128781357</v>
      </c>
      <c r="X141" s="9">
        <f t="shared" si="44"/>
        <v>7.6557926128365503E-14</v>
      </c>
      <c r="Y141" s="9">
        <f t="shared" si="45"/>
        <v>46103183114.501709</v>
      </c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</row>
    <row r="142" spans="1:76" s="4" customFormat="1" x14ac:dyDescent="0.3">
      <c r="A142" s="26">
        <v>420</v>
      </c>
      <c r="B142" s="26">
        <f t="shared" si="32"/>
        <v>7</v>
      </c>
      <c r="C142" s="26">
        <v>20</v>
      </c>
      <c r="D142" s="26">
        <f t="shared" si="33"/>
        <v>29.146000000000001</v>
      </c>
      <c r="E142" s="26">
        <f t="shared" si="34"/>
        <v>4.8576666666666667E-7</v>
      </c>
      <c r="F142" s="26">
        <v>21.1</v>
      </c>
      <c r="G142" s="26">
        <f t="shared" si="35"/>
        <v>294.10000000000002</v>
      </c>
      <c r="H142" s="26">
        <v>101.3</v>
      </c>
      <c r="I142" s="26">
        <f t="shared" si="36"/>
        <v>101300</v>
      </c>
      <c r="J142" s="26">
        <f t="shared" si="37"/>
        <v>2.0124824921938581E-5</v>
      </c>
      <c r="K142" s="20">
        <v>442.89108910891093</v>
      </c>
      <c r="L142" s="27">
        <f t="shared" si="38"/>
        <v>4.4289108910891095E-4</v>
      </c>
      <c r="M142" s="29">
        <f t="shared" si="46"/>
        <v>4.7762865441819992E-3</v>
      </c>
      <c r="N142" s="27">
        <f t="shared" si="39"/>
        <v>1.8661161857344167E-6</v>
      </c>
      <c r="O142" s="21">
        <f t="shared" si="47"/>
        <v>2.032E-3</v>
      </c>
      <c r="P142" s="21">
        <v>1.45111777225214E-10</v>
      </c>
      <c r="Q142" s="2">
        <v>0.32</v>
      </c>
      <c r="R142" s="27">
        <f t="shared" si="40"/>
        <v>132000</v>
      </c>
      <c r="S142" s="2">
        <v>5.3058450282772E-3</v>
      </c>
      <c r="T142" s="11">
        <v>0.11</v>
      </c>
      <c r="U142" s="30">
        <f t="shared" si="41"/>
        <v>111000.00000000001</v>
      </c>
      <c r="V142" s="30">
        <f t="shared" si="42"/>
        <v>49.160910891089124</v>
      </c>
      <c r="W142" s="11">
        <f t="shared" si="43"/>
        <v>1098.4389861539405</v>
      </c>
      <c r="X142" s="9">
        <f t="shared" si="44"/>
        <v>7.5639459220958081E-14</v>
      </c>
      <c r="Y142" s="9">
        <f t="shared" si="45"/>
        <v>45550082342.860962</v>
      </c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</row>
    <row r="143" spans="1:76" s="4" customFormat="1" x14ac:dyDescent="0.3">
      <c r="A143" s="26">
        <v>423</v>
      </c>
      <c r="B143" s="26">
        <f t="shared" si="32"/>
        <v>7.05</v>
      </c>
      <c r="C143" s="26">
        <v>20</v>
      </c>
      <c r="D143" s="26">
        <f t="shared" si="33"/>
        <v>29.146000000000001</v>
      </c>
      <c r="E143" s="26">
        <f t="shared" si="34"/>
        <v>4.8576666666666667E-7</v>
      </c>
      <c r="F143" s="26">
        <v>21.1</v>
      </c>
      <c r="G143" s="26">
        <f t="shared" si="35"/>
        <v>294.10000000000002</v>
      </c>
      <c r="H143" s="26">
        <v>101.3</v>
      </c>
      <c r="I143" s="26">
        <f t="shared" si="36"/>
        <v>101300</v>
      </c>
      <c r="J143" s="26">
        <f t="shared" si="37"/>
        <v>2.0124824921938581E-5</v>
      </c>
      <c r="K143" s="20">
        <v>440.09405940594064</v>
      </c>
      <c r="L143" s="27">
        <f t="shared" si="38"/>
        <v>4.4009405940594065E-4</v>
      </c>
      <c r="M143" s="29">
        <f t="shared" si="46"/>
        <v>4.7762865441819992E-3</v>
      </c>
      <c r="N143" s="27">
        <f t="shared" si="39"/>
        <v>1.8543309352991585E-6</v>
      </c>
      <c r="O143" s="21">
        <f t="shared" si="47"/>
        <v>2.032E-3</v>
      </c>
      <c r="P143" s="21">
        <v>1.45111777225214E-10</v>
      </c>
      <c r="Q143" s="2">
        <v>0.32</v>
      </c>
      <c r="R143" s="27">
        <f t="shared" si="40"/>
        <v>132000</v>
      </c>
      <c r="S143" s="2">
        <v>5.3058450282772E-3</v>
      </c>
      <c r="T143" s="11">
        <v>0.11</v>
      </c>
      <c r="U143" s="30">
        <f t="shared" si="41"/>
        <v>111000.00000000001</v>
      </c>
      <c r="V143" s="30">
        <f t="shared" si="42"/>
        <v>48.850440594059421</v>
      </c>
      <c r="W143" s="11">
        <f t="shared" si="43"/>
        <v>1086.0651346024515</v>
      </c>
      <c r="X143" s="9">
        <f t="shared" si="44"/>
        <v>7.515466236618472E-14</v>
      </c>
      <c r="Y143" s="9">
        <f t="shared" si="45"/>
        <v>45258137676.916443</v>
      </c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</row>
    <row r="144" spans="1:76" s="4" customFormat="1" x14ac:dyDescent="0.3">
      <c r="A144" s="26">
        <v>426</v>
      </c>
      <c r="B144" s="26">
        <f t="shared" si="32"/>
        <v>7.1</v>
      </c>
      <c r="C144" s="26">
        <v>20</v>
      </c>
      <c r="D144" s="26">
        <f t="shared" si="33"/>
        <v>29.146000000000001</v>
      </c>
      <c r="E144" s="26">
        <f t="shared" si="34"/>
        <v>4.8576666666666667E-7</v>
      </c>
      <c r="F144" s="26">
        <v>21.1</v>
      </c>
      <c r="G144" s="26">
        <f t="shared" si="35"/>
        <v>294.10000000000002</v>
      </c>
      <c r="H144" s="26">
        <v>101.3</v>
      </c>
      <c r="I144" s="26">
        <f t="shared" si="36"/>
        <v>101300</v>
      </c>
      <c r="J144" s="26">
        <f t="shared" si="37"/>
        <v>2.0124824921938581E-5</v>
      </c>
      <c r="K144" s="20">
        <v>449.42574257425747</v>
      </c>
      <c r="L144" s="27">
        <f t="shared" si="38"/>
        <v>4.494257425742575E-4</v>
      </c>
      <c r="M144" s="29">
        <f t="shared" si="46"/>
        <v>4.7762865441819992E-3</v>
      </c>
      <c r="N144" s="27">
        <f t="shared" si="39"/>
        <v>1.8936498681672327E-6</v>
      </c>
      <c r="O144" s="21">
        <f t="shared" si="47"/>
        <v>2.032E-3</v>
      </c>
      <c r="P144" s="21">
        <v>1.45111777225214E-10</v>
      </c>
      <c r="Q144" s="2">
        <v>0.32</v>
      </c>
      <c r="R144" s="27">
        <f t="shared" si="40"/>
        <v>132000</v>
      </c>
      <c r="S144" s="2">
        <v>5.3058450282772E-3</v>
      </c>
      <c r="T144" s="11">
        <v>0.11</v>
      </c>
      <c r="U144" s="30">
        <f t="shared" si="41"/>
        <v>111000.00000000001</v>
      </c>
      <c r="V144" s="30">
        <f t="shared" si="42"/>
        <v>49.886257425742592</v>
      </c>
      <c r="W144" s="11">
        <f t="shared" si="43"/>
        <v>1127.6027462088375</v>
      </c>
      <c r="X144" s="9">
        <f t="shared" si="44"/>
        <v>7.6772588789893428E-14</v>
      </c>
      <c r="Y144" s="9">
        <f t="shared" si="45"/>
        <v>46232452969.273827</v>
      </c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</row>
    <row r="145" spans="1:76" s="4" customFormat="1" x14ac:dyDescent="0.3">
      <c r="A145" s="26">
        <v>429</v>
      </c>
      <c r="B145" s="26">
        <f t="shared" si="32"/>
        <v>7.15</v>
      </c>
      <c r="C145" s="26">
        <v>20</v>
      </c>
      <c r="D145" s="26">
        <f t="shared" si="33"/>
        <v>29.146000000000001</v>
      </c>
      <c r="E145" s="26">
        <f t="shared" si="34"/>
        <v>4.8576666666666667E-7</v>
      </c>
      <c r="F145" s="26">
        <v>21.1</v>
      </c>
      <c r="G145" s="26">
        <f t="shared" si="35"/>
        <v>294.10000000000002</v>
      </c>
      <c r="H145" s="26">
        <v>101.3</v>
      </c>
      <c r="I145" s="26">
        <f t="shared" si="36"/>
        <v>101300</v>
      </c>
      <c r="J145" s="26">
        <f t="shared" si="37"/>
        <v>2.0124824921938581E-5</v>
      </c>
      <c r="K145" s="20">
        <v>446.92574257425747</v>
      </c>
      <c r="L145" s="27">
        <f t="shared" si="38"/>
        <v>4.4692574257425749E-4</v>
      </c>
      <c r="M145" s="29">
        <f t="shared" si="46"/>
        <v>4.7762865441819992E-3</v>
      </c>
      <c r="N145" s="27">
        <f t="shared" si="39"/>
        <v>1.8831161487516481E-6</v>
      </c>
      <c r="O145" s="21">
        <f t="shared" si="47"/>
        <v>2.032E-3</v>
      </c>
      <c r="P145" s="21">
        <v>1.45111777225214E-10</v>
      </c>
      <c r="Q145" s="2">
        <v>0.32</v>
      </c>
      <c r="R145" s="27">
        <f t="shared" si="40"/>
        <v>132000</v>
      </c>
      <c r="S145" s="2">
        <v>5.3058450282772E-3</v>
      </c>
      <c r="T145" s="11">
        <v>0.11</v>
      </c>
      <c r="U145" s="30">
        <f t="shared" si="41"/>
        <v>111000.00000000001</v>
      </c>
      <c r="V145" s="30">
        <f t="shared" si="42"/>
        <v>49.608757425742589</v>
      </c>
      <c r="W145" s="11">
        <f t="shared" si="43"/>
        <v>1116.4032470559459</v>
      </c>
      <c r="X145" s="9">
        <f t="shared" si="44"/>
        <v>7.6338996661151075E-14</v>
      </c>
      <c r="Y145" s="9">
        <f t="shared" si="45"/>
        <v>45971343789.345177</v>
      </c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</row>
    <row r="146" spans="1:76" s="4" customFormat="1" x14ac:dyDescent="0.3">
      <c r="A146" s="26">
        <v>432</v>
      </c>
      <c r="B146" s="26">
        <f t="shared" si="32"/>
        <v>7.2</v>
      </c>
      <c r="C146" s="26">
        <v>20</v>
      </c>
      <c r="D146" s="26">
        <f t="shared" si="33"/>
        <v>29.146000000000001</v>
      </c>
      <c r="E146" s="26">
        <f t="shared" si="34"/>
        <v>4.8576666666666667E-7</v>
      </c>
      <c r="F146" s="26">
        <v>21.1</v>
      </c>
      <c r="G146" s="26">
        <f t="shared" si="35"/>
        <v>294.10000000000002</v>
      </c>
      <c r="H146" s="26">
        <v>101.3</v>
      </c>
      <c r="I146" s="26">
        <f t="shared" si="36"/>
        <v>101300</v>
      </c>
      <c r="J146" s="26">
        <f t="shared" si="37"/>
        <v>2.0124824921938581E-5</v>
      </c>
      <c r="K146" s="20">
        <v>446.62871287128718</v>
      </c>
      <c r="L146" s="27">
        <f t="shared" si="38"/>
        <v>4.4662871287128719E-4</v>
      </c>
      <c r="M146" s="29">
        <f t="shared" si="46"/>
        <v>4.7762865441819992E-3</v>
      </c>
      <c r="N146" s="27">
        <f t="shared" si="39"/>
        <v>1.8818646177319745E-6</v>
      </c>
      <c r="O146" s="21">
        <f t="shared" si="47"/>
        <v>2.032E-3</v>
      </c>
      <c r="P146" s="21">
        <v>1.45111777225214E-10</v>
      </c>
      <c r="Q146" s="2">
        <v>0.32</v>
      </c>
      <c r="R146" s="27">
        <f t="shared" si="40"/>
        <v>132000</v>
      </c>
      <c r="S146" s="2">
        <v>5.3058450282772E-3</v>
      </c>
      <c r="T146" s="11">
        <v>0.11</v>
      </c>
      <c r="U146" s="30">
        <f t="shared" si="41"/>
        <v>111000.00000000001</v>
      </c>
      <c r="V146" s="30">
        <f t="shared" si="42"/>
        <v>49.575787128712882</v>
      </c>
      <c r="W146" s="11">
        <f t="shared" si="43"/>
        <v>1115.0760845613599</v>
      </c>
      <c r="X146" s="9">
        <f t="shared" si="44"/>
        <v>7.6287487719631823E-14</v>
      </c>
      <c r="Y146" s="9">
        <f t="shared" si="45"/>
        <v>45940325104.762283</v>
      </c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</row>
    <row r="147" spans="1:76" s="4" customFormat="1" x14ac:dyDescent="0.3">
      <c r="A147" s="26">
        <v>435</v>
      </c>
      <c r="B147" s="26">
        <f t="shared" ref="B147:B149" si="48">(A147/60)</f>
        <v>7.25</v>
      </c>
      <c r="C147" s="26">
        <v>20</v>
      </c>
      <c r="D147" s="26">
        <f t="shared" ref="D147:D149" si="49">(C147*1.4573)</f>
        <v>29.146000000000001</v>
      </c>
      <c r="E147" s="26">
        <f t="shared" ref="E147:E149" si="50">(D147/(1000000*60))</f>
        <v>4.8576666666666667E-7</v>
      </c>
      <c r="F147" s="26">
        <v>21.1</v>
      </c>
      <c r="G147" s="26">
        <f t="shared" ref="G147:G149" si="51">(273+F147)</f>
        <v>294.10000000000002</v>
      </c>
      <c r="H147" s="26">
        <v>101.3</v>
      </c>
      <c r="I147" s="26">
        <f t="shared" ref="I147:I149" si="52">(H147*1000)</f>
        <v>101300</v>
      </c>
      <c r="J147" s="26">
        <f t="shared" ref="J147:J149" si="53">((I147*E147)/(8.314*G147))</f>
        <v>2.0124824921938581E-5</v>
      </c>
      <c r="K147" s="20">
        <v>442.79207920792078</v>
      </c>
      <c r="L147" s="27">
        <f t="shared" ref="L147:L149" si="54">(K147/1000000)</f>
        <v>4.4279207920792078E-4</v>
      </c>
      <c r="M147" s="29">
        <f t="shared" si="46"/>
        <v>4.7762865441819992E-3</v>
      </c>
      <c r="N147" s="27">
        <f t="shared" ref="N147:N149" si="55">(L147*J147)/M147</f>
        <v>1.8656990087278588E-6</v>
      </c>
      <c r="O147" s="21">
        <f t="shared" si="47"/>
        <v>2.032E-3</v>
      </c>
      <c r="P147" s="21">
        <v>1.45111777225214E-10</v>
      </c>
      <c r="Q147" s="2">
        <v>0.32</v>
      </c>
      <c r="R147" s="27">
        <f t="shared" ref="R147:R149" si="56">(1+Q147)*100000*1</f>
        <v>132000</v>
      </c>
      <c r="S147" s="2">
        <v>5.3058450282772E-3</v>
      </c>
      <c r="T147" s="11">
        <v>0.11</v>
      </c>
      <c r="U147" s="30">
        <f t="shared" ref="U147:U149" si="57">(1+T147)*100000</f>
        <v>111000.00000000001</v>
      </c>
      <c r="V147" s="30">
        <f t="shared" ref="V147:V149" si="58">(L147*U147)</f>
        <v>49.149920792079214</v>
      </c>
      <c r="W147" s="11">
        <f t="shared" ref="W147:W149" si="59">((N147*O147/P147) + SQRT(V147))^2</f>
        <v>1097.999856439722</v>
      </c>
      <c r="X147" s="9">
        <f t="shared" ref="X147:X149" si="60">(N147*S147)/(R147-W147)</f>
        <v>7.5622296060136988E-14</v>
      </c>
      <c r="Y147" s="9">
        <f t="shared" ref="Y147:Y149" si="61">(X147*6.022E+23)</f>
        <v>45539746687.414497</v>
      </c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</row>
    <row r="148" spans="1:76" s="4" customFormat="1" x14ac:dyDescent="0.3">
      <c r="A148" s="26">
        <v>438</v>
      </c>
      <c r="B148" s="26">
        <f t="shared" si="48"/>
        <v>7.3</v>
      </c>
      <c r="C148" s="26">
        <v>20</v>
      </c>
      <c r="D148" s="26">
        <f t="shared" si="49"/>
        <v>29.146000000000001</v>
      </c>
      <c r="E148" s="26">
        <f t="shared" si="50"/>
        <v>4.8576666666666667E-7</v>
      </c>
      <c r="F148" s="26">
        <v>21.1</v>
      </c>
      <c r="G148" s="26">
        <f t="shared" si="51"/>
        <v>294.10000000000002</v>
      </c>
      <c r="H148" s="26">
        <v>101.3</v>
      </c>
      <c r="I148" s="26">
        <f t="shared" si="52"/>
        <v>101300</v>
      </c>
      <c r="J148" s="26">
        <f t="shared" si="53"/>
        <v>2.0124824921938581E-5</v>
      </c>
      <c r="K148" s="20">
        <v>433.83168316831689</v>
      </c>
      <c r="L148" s="27">
        <f t="shared" si="54"/>
        <v>4.3383168316831687E-4</v>
      </c>
      <c r="M148" s="29">
        <f t="shared" si="46"/>
        <v>4.7762865441819992E-3</v>
      </c>
      <c r="N148" s="27">
        <f t="shared" si="55"/>
        <v>1.8279444896343767E-6</v>
      </c>
      <c r="O148" s="21">
        <f t="shared" si="47"/>
        <v>2.032E-3</v>
      </c>
      <c r="P148" s="21">
        <v>1.45111777225214E-10</v>
      </c>
      <c r="Q148" s="2">
        <v>0.32</v>
      </c>
      <c r="R148" s="27">
        <f t="shared" si="56"/>
        <v>132000</v>
      </c>
      <c r="S148" s="2">
        <v>5.3058450282772E-3</v>
      </c>
      <c r="T148" s="11">
        <v>0.11</v>
      </c>
      <c r="U148" s="30">
        <f t="shared" si="57"/>
        <v>111000.00000000001</v>
      </c>
      <c r="V148" s="30">
        <f t="shared" si="58"/>
        <v>48.15531683168318</v>
      </c>
      <c r="W148" s="11">
        <f t="shared" si="59"/>
        <v>1058.5982694929326</v>
      </c>
      <c r="X148" s="9">
        <f t="shared" si="60"/>
        <v>7.4069698766892086E-14</v>
      </c>
      <c r="Y148" s="9">
        <f t="shared" si="61"/>
        <v>44604772597.422417</v>
      </c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</row>
    <row r="149" spans="1:76" s="4" customFormat="1" x14ac:dyDescent="0.3">
      <c r="A149" s="26">
        <v>441</v>
      </c>
      <c r="B149" s="26">
        <f t="shared" si="48"/>
        <v>7.35</v>
      </c>
      <c r="C149" s="26">
        <v>20</v>
      </c>
      <c r="D149" s="26">
        <f t="shared" si="49"/>
        <v>29.146000000000001</v>
      </c>
      <c r="E149" s="26">
        <f t="shared" si="50"/>
        <v>4.8576666666666667E-7</v>
      </c>
      <c r="F149" s="26">
        <v>21.1</v>
      </c>
      <c r="G149" s="26">
        <f t="shared" si="51"/>
        <v>294.10000000000002</v>
      </c>
      <c r="H149" s="26">
        <v>101.3</v>
      </c>
      <c r="I149" s="26">
        <f t="shared" si="52"/>
        <v>101300</v>
      </c>
      <c r="J149" s="26">
        <f t="shared" si="53"/>
        <v>2.0124824921938581E-5</v>
      </c>
      <c r="K149" s="20">
        <v>454.27722772277235</v>
      </c>
      <c r="L149" s="27">
        <f t="shared" si="54"/>
        <v>4.5427722772277234E-4</v>
      </c>
      <c r="M149" s="29">
        <f t="shared" si="46"/>
        <v>4.7762865441819992E-3</v>
      </c>
      <c r="N149" s="27">
        <f t="shared" si="55"/>
        <v>1.9140915414885654E-6</v>
      </c>
      <c r="O149" s="21">
        <f t="shared" si="47"/>
        <v>2.032E-3</v>
      </c>
      <c r="P149" s="21">
        <v>1.45111777225214E-10</v>
      </c>
      <c r="Q149" s="2">
        <v>0.32</v>
      </c>
      <c r="R149" s="27">
        <f t="shared" si="56"/>
        <v>132000</v>
      </c>
      <c r="S149" s="2">
        <v>5.3058450282772E-3</v>
      </c>
      <c r="T149" s="11">
        <v>0.11</v>
      </c>
      <c r="U149" s="30">
        <f t="shared" si="57"/>
        <v>111000.00000000001</v>
      </c>
      <c r="V149" s="30">
        <f t="shared" si="58"/>
        <v>50.424772277227738</v>
      </c>
      <c r="W149" s="11">
        <f t="shared" si="59"/>
        <v>1149.4853675446532</v>
      </c>
      <c r="X149" s="9">
        <f t="shared" si="60"/>
        <v>7.7614315217645672E-14</v>
      </c>
      <c r="Y149" s="9">
        <f t="shared" si="61"/>
        <v>46739340624.066223</v>
      </c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</row>
    <row r="150" spans="1:76" s="4" customForma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4"/>
      <c r="L150" s="3"/>
      <c r="M150" s="3"/>
      <c r="N150" s="8"/>
      <c r="O150" s="23"/>
      <c r="P150" s="23"/>
      <c r="Q150" s="8"/>
      <c r="R150" s="8"/>
      <c r="S150" s="8"/>
      <c r="T150" s="13"/>
      <c r="U150" s="8"/>
      <c r="V150" s="13">
        <f>AVERAGE(V92:V149)</f>
        <v>50.241493427791085</v>
      </c>
      <c r="W150" s="19"/>
      <c r="X150" s="8"/>
      <c r="Y150" s="19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</row>
    <row r="151" spans="1:76" s="4" customForma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4"/>
      <c r="L151" s="3"/>
      <c r="M151" s="3"/>
      <c r="N151" s="8"/>
      <c r="O151" s="23"/>
      <c r="P151" s="23"/>
      <c r="Q151" s="8"/>
      <c r="R151" s="8"/>
      <c r="S151" s="8"/>
      <c r="T151" s="13"/>
      <c r="U151" s="8"/>
      <c r="V151" s="13"/>
      <c r="W151" s="19"/>
      <c r="X151" s="8"/>
      <c r="Y151" s="19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</row>
    <row r="152" spans="1:76" s="4" customForma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4"/>
      <c r="L152" s="3"/>
      <c r="M152" s="3"/>
      <c r="N152" s="8"/>
      <c r="O152" s="23"/>
      <c r="P152" s="23"/>
      <c r="Q152" s="8"/>
      <c r="R152" s="8"/>
      <c r="S152" s="8"/>
      <c r="T152" s="13"/>
      <c r="U152" s="8"/>
      <c r="V152" s="13"/>
      <c r="W152" s="19"/>
      <c r="X152" s="32">
        <f>AVERAGE(X92:X149)</f>
        <v>7.7328396433567352E-14</v>
      </c>
      <c r="Y152" s="32">
        <f>AVERAGE(Y92:Y149)</f>
        <v>46567160332.294273</v>
      </c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</row>
    <row r="153" spans="1:76" s="4" customForma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4"/>
      <c r="L153" s="3"/>
      <c r="M153" s="3"/>
      <c r="N153" s="8"/>
      <c r="O153" s="23"/>
      <c r="P153" s="23"/>
      <c r="Q153" s="8"/>
      <c r="R153" s="8"/>
      <c r="S153" s="8"/>
      <c r="T153" s="13"/>
      <c r="U153" s="8"/>
      <c r="V153" s="13"/>
      <c r="W153" s="19"/>
      <c r="X153" s="8"/>
      <c r="Y153" s="19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</row>
    <row r="154" spans="1:76" s="4" customForma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4"/>
      <c r="L154" s="3"/>
      <c r="M154" s="3"/>
      <c r="N154" s="8"/>
      <c r="O154" s="23"/>
      <c r="P154" s="23"/>
      <c r="Q154" s="8"/>
      <c r="R154" s="8"/>
      <c r="S154" s="8"/>
      <c r="T154" s="13"/>
      <c r="U154" s="8"/>
      <c r="V154" s="13"/>
      <c r="W154" s="19"/>
      <c r="X154" s="8"/>
      <c r="Y154" s="19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</row>
    <row r="155" spans="1:76" s="4" customForma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4"/>
      <c r="L155" s="3"/>
      <c r="M155" s="3"/>
      <c r="N155" s="8"/>
      <c r="O155" s="23"/>
      <c r="P155" s="23"/>
      <c r="Q155" s="8"/>
      <c r="R155" s="8"/>
      <c r="S155" s="8"/>
      <c r="T155" s="13"/>
      <c r="U155" s="8"/>
      <c r="V155" s="13"/>
      <c r="W155" s="19"/>
      <c r="X155" s="8"/>
      <c r="Y155" s="19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</row>
    <row r="156" spans="1:76" s="4" customForma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4"/>
      <c r="L156" s="3"/>
      <c r="M156" s="3"/>
      <c r="N156" s="8"/>
      <c r="O156" s="23"/>
      <c r="P156" s="23"/>
      <c r="Q156" s="8"/>
      <c r="R156" s="8"/>
      <c r="S156" s="8"/>
      <c r="T156" s="13"/>
      <c r="U156" s="8"/>
      <c r="V156" s="13"/>
      <c r="W156" s="19"/>
      <c r="X156" s="8"/>
      <c r="Y156" s="19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</row>
    <row r="157" spans="1:76" s="4" customForma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4"/>
      <c r="L157" s="3"/>
      <c r="M157" s="3"/>
      <c r="N157" s="8"/>
      <c r="O157" s="23"/>
      <c r="P157" s="23"/>
      <c r="Q157" s="8"/>
      <c r="R157" s="8"/>
      <c r="S157" s="8"/>
      <c r="T157" s="13"/>
      <c r="U157" s="8"/>
      <c r="V157" s="13"/>
      <c r="W157" s="19"/>
      <c r="X157" s="8"/>
      <c r="Y157" s="19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</row>
    <row r="158" spans="1:76" s="4" customForma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4"/>
      <c r="L158" s="3"/>
      <c r="M158" s="3"/>
      <c r="N158" s="8"/>
      <c r="O158" s="23"/>
      <c r="P158" s="23"/>
      <c r="Q158" s="8"/>
      <c r="R158" s="8"/>
      <c r="S158" s="8"/>
      <c r="T158" s="13"/>
      <c r="U158" s="8"/>
      <c r="V158" s="13"/>
      <c r="W158" s="19"/>
      <c r="X158" s="8"/>
      <c r="Y158" s="19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</row>
    <row r="159" spans="1:76" s="4" customForma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4"/>
      <c r="L159" s="3"/>
      <c r="M159" s="3"/>
      <c r="N159" s="8"/>
      <c r="O159" s="23"/>
      <c r="P159" s="23"/>
      <c r="Q159" s="8"/>
      <c r="R159" s="8"/>
      <c r="S159" s="8"/>
      <c r="T159" s="13"/>
      <c r="U159" s="8"/>
      <c r="V159" s="13"/>
      <c r="W159" s="19"/>
      <c r="X159" s="8"/>
      <c r="Y159" s="19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</row>
    <row r="160" spans="1:76" s="4" customForma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4"/>
      <c r="L160" s="3"/>
      <c r="M160" s="3"/>
      <c r="N160" s="8"/>
      <c r="O160" s="23"/>
      <c r="P160" s="23"/>
      <c r="Q160" s="8"/>
      <c r="R160" s="8"/>
      <c r="S160" s="8"/>
      <c r="T160" s="13"/>
      <c r="U160" s="8"/>
      <c r="V160" s="13"/>
      <c r="W160" s="19"/>
      <c r="X160" s="8"/>
      <c r="Y160" s="19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</row>
    <row r="161" spans="1:76" s="4" customForma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4"/>
      <c r="L161" s="3"/>
      <c r="M161" s="3"/>
      <c r="N161" s="8"/>
      <c r="O161" s="23"/>
      <c r="P161" s="23"/>
      <c r="Q161" s="8"/>
      <c r="R161" s="8"/>
      <c r="S161" s="8"/>
      <c r="T161" s="13"/>
      <c r="U161" s="8"/>
      <c r="V161" s="13"/>
      <c r="W161" s="19"/>
      <c r="X161" s="8"/>
      <c r="Y161" s="19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</row>
    <row r="162" spans="1:76" s="4" customForma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4"/>
      <c r="L162" s="3"/>
      <c r="M162" s="3"/>
      <c r="N162" s="8"/>
      <c r="O162" s="23"/>
      <c r="P162" s="23"/>
      <c r="Q162" s="8"/>
      <c r="R162" s="8"/>
      <c r="S162" s="8"/>
      <c r="T162" s="13"/>
      <c r="U162" s="8"/>
      <c r="V162" s="13"/>
      <c r="W162" s="19"/>
      <c r="X162" s="8"/>
      <c r="Y162" s="19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</row>
    <row r="163" spans="1:76" s="4" customForma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4"/>
      <c r="L163" s="3"/>
      <c r="M163" s="3"/>
      <c r="N163" s="8"/>
      <c r="O163" s="23"/>
      <c r="P163" s="23"/>
      <c r="Q163" s="8"/>
      <c r="R163" s="8"/>
      <c r="S163" s="8"/>
      <c r="T163" s="13"/>
      <c r="U163" s="8"/>
      <c r="V163" s="13"/>
      <c r="W163" s="19"/>
      <c r="X163" s="8"/>
      <c r="Y163" s="19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</row>
    <row r="164" spans="1:76" s="4" customForma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4"/>
      <c r="L164" s="3"/>
      <c r="M164" s="3"/>
      <c r="N164" s="8"/>
      <c r="O164" s="23"/>
      <c r="P164" s="23"/>
      <c r="Q164" s="8"/>
      <c r="R164" s="8"/>
      <c r="S164" s="8"/>
      <c r="T164" s="13"/>
      <c r="U164" s="8"/>
      <c r="V164" s="13"/>
      <c r="W164" s="19"/>
      <c r="X164" s="8"/>
      <c r="Y164" s="19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</row>
    <row r="165" spans="1:76" s="4" customForma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4"/>
      <c r="L165" s="3"/>
      <c r="M165" s="3"/>
      <c r="N165" s="8"/>
      <c r="O165" s="23"/>
      <c r="P165" s="23"/>
      <c r="Q165" s="8"/>
      <c r="R165" s="8"/>
      <c r="S165" s="8"/>
      <c r="T165" s="13"/>
      <c r="U165" s="8"/>
      <c r="V165" s="13"/>
      <c r="W165" s="19"/>
      <c r="X165" s="8"/>
      <c r="Y165" s="19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</row>
    <row r="166" spans="1:76" s="4" customForma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4"/>
      <c r="L166" s="3"/>
      <c r="M166" s="3"/>
      <c r="N166" s="8"/>
      <c r="O166" s="23"/>
      <c r="P166" s="23"/>
      <c r="Q166" s="8"/>
      <c r="R166" s="8"/>
      <c r="S166" s="8"/>
      <c r="T166" s="13"/>
      <c r="U166" s="8"/>
      <c r="V166" s="13"/>
      <c r="W166" s="19"/>
      <c r="X166" s="8"/>
      <c r="Y166" s="19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</row>
    <row r="167" spans="1:76" s="4" customForma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4"/>
      <c r="L167" s="3"/>
      <c r="M167" s="3"/>
      <c r="N167" s="8"/>
      <c r="O167" s="23"/>
      <c r="P167" s="23"/>
      <c r="Q167" s="8"/>
      <c r="R167" s="8"/>
      <c r="S167" s="8"/>
      <c r="T167" s="13"/>
      <c r="U167" s="8"/>
      <c r="V167" s="13"/>
      <c r="W167" s="19"/>
      <c r="X167" s="8"/>
      <c r="Y167" s="19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</row>
    <row r="168" spans="1:76" s="4" customForma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4"/>
      <c r="L168" s="3"/>
      <c r="M168" s="3"/>
      <c r="N168" s="8"/>
      <c r="O168" s="23"/>
      <c r="P168" s="23"/>
      <c r="Q168" s="8"/>
      <c r="R168" s="8"/>
      <c r="S168" s="8"/>
      <c r="T168" s="13"/>
      <c r="U168" s="8"/>
      <c r="V168" s="13"/>
      <c r="W168" s="19"/>
      <c r="X168" s="8"/>
      <c r="Y168" s="19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</row>
    <row r="169" spans="1:76" s="4" customForma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4"/>
      <c r="L169" s="3"/>
      <c r="M169" s="3"/>
      <c r="N169" s="8"/>
      <c r="O169" s="23"/>
      <c r="P169" s="23"/>
      <c r="Q169" s="8"/>
      <c r="R169" s="8"/>
      <c r="S169" s="8"/>
      <c r="T169" s="13"/>
      <c r="U169" s="8"/>
      <c r="V169" s="13"/>
      <c r="W169" s="19"/>
      <c r="X169" s="8"/>
      <c r="Y169" s="19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</row>
    <row r="170" spans="1:76" s="4" customForma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4"/>
      <c r="L170" s="3"/>
      <c r="M170" s="3"/>
      <c r="N170" s="8"/>
      <c r="O170" s="23"/>
      <c r="P170" s="23"/>
      <c r="Q170" s="8"/>
      <c r="R170" s="8"/>
      <c r="S170" s="8"/>
      <c r="T170" s="13"/>
      <c r="U170" s="8"/>
      <c r="V170" s="13"/>
      <c r="W170" s="19"/>
      <c r="X170" s="8"/>
      <c r="Y170" s="19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</row>
    <row r="171" spans="1:76" s="4" customForma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4"/>
      <c r="L171" s="3"/>
      <c r="M171" s="3"/>
      <c r="N171" s="8"/>
      <c r="O171" s="23"/>
      <c r="P171" s="23"/>
      <c r="Q171" s="8"/>
      <c r="R171" s="8"/>
      <c r="S171" s="8"/>
      <c r="T171" s="13"/>
      <c r="U171" s="8"/>
      <c r="V171" s="13"/>
      <c r="W171" s="19"/>
      <c r="X171" s="8"/>
      <c r="Y171" s="19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</row>
    <row r="172" spans="1:76" s="4" customForma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4"/>
      <c r="L172" s="3"/>
      <c r="M172" s="3"/>
      <c r="N172" s="8"/>
      <c r="O172" s="23"/>
      <c r="P172" s="23"/>
      <c r="Q172" s="8"/>
      <c r="R172" s="8"/>
      <c r="S172" s="8"/>
      <c r="T172" s="13"/>
      <c r="U172" s="8"/>
      <c r="V172" s="13"/>
      <c r="W172" s="19"/>
      <c r="X172" s="8"/>
      <c r="Y172" s="19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</row>
    <row r="173" spans="1:76" s="4" customForma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4"/>
      <c r="L173" s="3"/>
      <c r="M173" s="3"/>
      <c r="N173" s="8"/>
      <c r="O173" s="23"/>
      <c r="P173" s="23"/>
      <c r="Q173" s="8"/>
      <c r="R173" s="8"/>
      <c r="S173" s="8"/>
      <c r="T173" s="13"/>
      <c r="U173" s="8"/>
      <c r="V173" s="13"/>
      <c r="W173" s="19"/>
      <c r="X173" s="8"/>
      <c r="Y173" s="19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</row>
    <row r="174" spans="1:76" s="4" customForma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4"/>
      <c r="L174" s="3"/>
      <c r="M174" s="3"/>
      <c r="N174" s="8"/>
      <c r="O174" s="23"/>
      <c r="P174" s="23"/>
      <c r="Q174" s="8"/>
      <c r="R174" s="8"/>
      <c r="S174" s="8"/>
      <c r="T174" s="13"/>
      <c r="U174" s="8"/>
      <c r="V174" s="13"/>
      <c r="W174" s="19"/>
      <c r="X174" s="8"/>
      <c r="Y174" s="19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</row>
    <row r="175" spans="1:76" s="4" customForma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4"/>
      <c r="L175" s="3"/>
      <c r="M175" s="3"/>
      <c r="N175" s="8"/>
      <c r="O175" s="23"/>
      <c r="P175" s="23"/>
      <c r="Q175" s="8"/>
      <c r="R175" s="8"/>
      <c r="S175" s="8"/>
      <c r="T175" s="13"/>
      <c r="U175" s="8"/>
      <c r="V175" s="13"/>
      <c r="W175" s="19"/>
      <c r="X175" s="8"/>
      <c r="Y175" s="19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</row>
    <row r="176" spans="1:76" s="4" customForma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4"/>
      <c r="L176" s="3"/>
      <c r="M176" s="3"/>
      <c r="N176" s="8"/>
      <c r="O176" s="23"/>
      <c r="P176" s="23"/>
      <c r="Q176" s="8"/>
      <c r="R176" s="8"/>
      <c r="S176" s="8"/>
      <c r="T176" s="13"/>
      <c r="U176" s="8"/>
      <c r="V176" s="13"/>
      <c r="W176" s="19"/>
      <c r="X176" s="8"/>
      <c r="Y176" s="19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</row>
    <row r="177" spans="1:76" s="4" customForma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4"/>
      <c r="L177" s="3"/>
      <c r="M177" s="3"/>
      <c r="N177" s="8"/>
      <c r="O177" s="23"/>
      <c r="P177" s="23"/>
      <c r="Q177" s="8"/>
      <c r="R177" s="8"/>
      <c r="S177" s="8"/>
      <c r="T177" s="13"/>
      <c r="U177" s="8"/>
      <c r="V177" s="13"/>
      <c r="W177" s="19"/>
      <c r="X177" s="8"/>
      <c r="Y177" s="19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</row>
    <row r="178" spans="1:76" s="4" customForma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4"/>
      <c r="L178" s="3"/>
      <c r="M178" s="3"/>
      <c r="N178" s="8"/>
      <c r="O178" s="23"/>
      <c r="P178" s="23"/>
      <c r="Q178" s="8"/>
      <c r="R178" s="8"/>
      <c r="S178" s="8"/>
      <c r="T178" s="13"/>
      <c r="U178" s="8"/>
      <c r="V178" s="13"/>
      <c r="W178" s="19"/>
      <c r="X178" s="8"/>
      <c r="Y178" s="19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</row>
    <row r="179" spans="1:76" s="4" customForma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4"/>
      <c r="L179" s="3"/>
      <c r="M179" s="3"/>
      <c r="N179" s="8"/>
      <c r="O179" s="23"/>
      <c r="P179" s="23"/>
      <c r="Q179" s="8"/>
      <c r="R179" s="8"/>
      <c r="S179" s="8"/>
      <c r="T179" s="13"/>
      <c r="U179" s="8"/>
      <c r="V179" s="13"/>
      <c r="W179" s="19"/>
      <c r="X179" s="8"/>
      <c r="Y179" s="19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</row>
    <row r="180" spans="1:76" s="4" customForma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4"/>
      <c r="L180" s="3"/>
      <c r="M180" s="3"/>
      <c r="N180" s="8"/>
      <c r="O180" s="23"/>
      <c r="P180" s="23"/>
      <c r="Q180" s="8"/>
      <c r="R180" s="8"/>
      <c r="S180" s="8"/>
      <c r="T180" s="13"/>
      <c r="U180" s="8"/>
      <c r="V180" s="13"/>
      <c r="W180" s="19"/>
      <c r="X180" s="8"/>
      <c r="Y180" s="19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</row>
    <row r="181" spans="1:76" s="4" customForma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4"/>
      <c r="L181" s="3"/>
      <c r="M181" s="3"/>
      <c r="N181" s="8"/>
      <c r="O181" s="23"/>
      <c r="P181" s="23"/>
      <c r="Q181" s="8"/>
      <c r="R181" s="8"/>
      <c r="S181" s="8"/>
      <c r="T181" s="13"/>
      <c r="U181" s="8"/>
      <c r="V181" s="13"/>
      <c r="W181" s="19"/>
      <c r="X181" s="8"/>
      <c r="Y181" s="19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</row>
    <row r="182" spans="1:76" s="4" customForma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4"/>
      <c r="L182" s="3"/>
      <c r="M182" s="3"/>
      <c r="N182" s="8"/>
      <c r="O182" s="23"/>
      <c r="P182" s="23"/>
      <c r="Q182" s="8"/>
      <c r="R182" s="8"/>
      <c r="S182" s="8"/>
      <c r="T182" s="13"/>
      <c r="U182" s="8"/>
      <c r="V182" s="13"/>
      <c r="W182" s="19"/>
      <c r="X182" s="8"/>
      <c r="Y182" s="19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</row>
    <row r="183" spans="1:76" s="4" customForma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4"/>
      <c r="L183" s="3"/>
      <c r="M183" s="3"/>
      <c r="N183" s="8"/>
      <c r="O183" s="23"/>
      <c r="P183" s="23"/>
      <c r="Q183" s="8"/>
      <c r="R183" s="8"/>
      <c r="S183" s="8"/>
      <c r="T183" s="13"/>
      <c r="U183" s="8"/>
      <c r="V183" s="13"/>
      <c r="W183" s="19"/>
      <c r="X183" s="8"/>
      <c r="Y183" s="19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</row>
    <row r="184" spans="1:76" s="4" customForma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4"/>
      <c r="L184" s="3"/>
      <c r="M184" s="3"/>
      <c r="N184" s="8"/>
      <c r="O184" s="23"/>
      <c r="P184" s="23"/>
      <c r="Q184" s="8"/>
      <c r="R184" s="8"/>
      <c r="S184" s="8"/>
      <c r="T184" s="13"/>
      <c r="U184" s="8"/>
      <c r="V184" s="13"/>
      <c r="W184" s="19"/>
      <c r="X184" s="8"/>
      <c r="Y184" s="19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</row>
    <row r="185" spans="1:76" s="4" customForma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4"/>
      <c r="L185" s="3"/>
      <c r="M185" s="3"/>
      <c r="N185" s="8"/>
      <c r="O185" s="23"/>
      <c r="P185" s="23"/>
      <c r="Q185" s="8"/>
      <c r="R185" s="8"/>
      <c r="S185" s="8"/>
      <c r="T185" s="13"/>
      <c r="U185" s="8"/>
      <c r="V185" s="13"/>
      <c r="W185" s="19"/>
      <c r="X185" s="8"/>
      <c r="Y185" s="19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</row>
    <row r="186" spans="1:76" s="4" customForma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4"/>
      <c r="L186" s="3"/>
      <c r="M186" s="3"/>
      <c r="N186" s="8"/>
      <c r="O186" s="23"/>
      <c r="P186" s="23"/>
      <c r="Q186" s="8"/>
      <c r="R186" s="8"/>
      <c r="S186" s="8"/>
      <c r="T186" s="13"/>
      <c r="U186" s="8"/>
      <c r="V186" s="13"/>
      <c r="W186" s="19"/>
      <c r="X186" s="8"/>
      <c r="Y186" s="19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</row>
    <row r="187" spans="1:76" s="4" customForma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4"/>
      <c r="L187" s="3"/>
      <c r="M187" s="3"/>
      <c r="N187" s="8"/>
      <c r="O187" s="23"/>
      <c r="P187" s="23"/>
      <c r="Q187" s="8"/>
      <c r="R187" s="8"/>
      <c r="S187" s="8"/>
      <c r="T187" s="13"/>
      <c r="U187" s="8"/>
      <c r="V187" s="13"/>
      <c r="W187" s="19"/>
      <c r="X187" s="8"/>
      <c r="Y187" s="19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</row>
    <row r="188" spans="1:76" s="4" customForma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4"/>
      <c r="L188" s="3"/>
      <c r="M188" s="3"/>
      <c r="N188" s="8"/>
      <c r="O188" s="23"/>
      <c r="P188" s="23"/>
      <c r="Q188" s="8"/>
      <c r="R188" s="8"/>
      <c r="S188" s="8"/>
      <c r="T188" s="13"/>
      <c r="U188" s="8"/>
      <c r="V188" s="13"/>
      <c r="W188" s="19"/>
      <c r="X188" s="8"/>
      <c r="Y188" s="19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85268-1F07-4A95-BDF7-B0B9902754C5}">
  <dimension ref="A1:BZ164"/>
  <sheetViews>
    <sheetView tabSelected="1" topLeftCell="H1" zoomScale="120" zoomScaleNormal="120" workbookViewId="0">
      <selection activeCell="P1" activeCellId="1" sqref="B1:B1048576 P1:P1048576"/>
    </sheetView>
  </sheetViews>
  <sheetFormatPr defaultColWidth="8.90625" defaultRowHeight="14" x14ac:dyDescent="0.3"/>
  <cols>
    <col min="1" max="5" width="22.08984375" style="1" customWidth="1"/>
    <col min="6" max="6" width="18.81640625" style="1" customWidth="1"/>
    <col min="7" max="7" width="17.36328125" style="1" customWidth="1"/>
    <col min="8" max="8" width="16.6328125" style="1" customWidth="1"/>
    <col min="9" max="9" width="20.90625" style="1" customWidth="1"/>
    <col min="10" max="10" width="19.1796875" style="1" customWidth="1"/>
    <col min="11" max="11" width="23.08984375" style="1" customWidth="1"/>
    <col min="12" max="12" width="13.6328125" style="28" customWidth="1"/>
    <col min="13" max="13" width="20.90625" style="3" customWidth="1"/>
    <col min="14" max="14" width="27.36328125" style="3" customWidth="1"/>
    <col min="15" max="16" width="20.6328125" style="8" customWidth="1"/>
    <col min="17" max="17" width="20.6328125" style="23" customWidth="1"/>
    <col min="18" max="18" width="32.90625" style="23" customWidth="1"/>
    <col min="19" max="19" width="23.1796875" style="8" customWidth="1"/>
    <col min="20" max="20" width="30.90625" style="8" customWidth="1"/>
    <col min="21" max="21" width="20.6328125" style="8" customWidth="1"/>
    <col min="22" max="22" width="20.6328125" style="13" customWidth="1"/>
    <col min="23" max="23" width="20.6328125" style="8" customWidth="1"/>
    <col min="24" max="24" width="20.6328125" style="13" customWidth="1"/>
    <col min="25" max="25" width="23.81640625" style="19" customWidth="1"/>
    <col min="26" max="26" width="47.36328125" style="8" customWidth="1"/>
    <col min="27" max="27" width="51.6328125" style="19" customWidth="1"/>
    <col min="28" max="16384" width="8.90625" style="6"/>
  </cols>
  <sheetData>
    <row r="1" spans="1:27" s="24" customFormat="1" ht="53.4" customHeight="1" x14ac:dyDescent="0.35">
      <c r="A1" s="15" t="s">
        <v>7</v>
      </c>
      <c r="B1" s="15"/>
      <c r="C1" s="16" t="s">
        <v>6</v>
      </c>
      <c r="D1" s="15" t="s">
        <v>2</v>
      </c>
      <c r="E1" s="15" t="s">
        <v>1</v>
      </c>
      <c r="F1" s="16" t="s">
        <v>0</v>
      </c>
      <c r="G1" s="15" t="s">
        <v>3</v>
      </c>
      <c r="H1" s="16" t="s">
        <v>10</v>
      </c>
      <c r="I1" s="15" t="s">
        <v>4</v>
      </c>
      <c r="J1" s="16" t="s">
        <v>11</v>
      </c>
      <c r="K1" s="16" t="s">
        <v>8</v>
      </c>
      <c r="L1" s="33" t="s">
        <v>5</v>
      </c>
      <c r="M1" s="16" t="s">
        <v>9</v>
      </c>
      <c r="N1" s="10" t="s">
        <v>19</v>
      </c>
      <c r="O1" s="17" t="s">
        <v>26</v>
      </c>
      <c r="P1" s="17"/>
      <c r="Q1" s="22" t="s">
        <v>17</v>
      </c>
      <c r="R1" s="22" t="s">
        <v>31</v>
      </c>
      <c r="S1" s="18" t="s">
        <v>12</v>
      </c>
      <c r="T1" s="17" t="s">
        <v>15</v>
      </c>
      <c r="U1" s="17" t="s">
        <v>32</v>
      </c>
      <c r="V1" s="12" t="s">
        <v>13</v>
      </c>
      <c r="W1" s="17" t="s">
        <v>14</v>
      </c>
      <c r="X1" s="12" t="s">
        <v>22</v>
      </c>
      <c r="Y1" s="12" t="s">
        <v>21</v>
      </c>
      <c r="Z1" s="25" t="s">
        <v>23</v>
      </c>
      <c r="AA1" s="25" t="s">
        <v>20</v>
      </c>
    </row>
    <row r="2" spans="1:27" x14ac:dyDescent="0.3">
      <c r="A2" s="1">
        <v>0</v>
      </c>
      <c r="B2" s="1">
        <f>A2*60</f>
        <v>0</v>
      </c>
      <c r="C2" s="1">
        <f>(A2/60)</f>
        <v>0</v>
      </c>
      <c r="D2" s="1">
        <v>20</v>
      </c>
      <c r="E2" s="1">
        <f t="shared" ref="E2:E65" si="0">(D2*1.4573)</f>
        <v>29.146000000000001</v>
      </c>
      <c r="F2" s="1">
        <f>(E2/(1000000*60))</f>
        <v>4.8576666666666667E-7</v>
      </c>
      <c r="G2" s="1">
        <v>21.1</v>
      </c>
      <c r="H2" s="1">
        <f>(273+G2)</f>
        <v>294.10000000000002</v>
      </c>
      <c r="I2" s="1">
        <v>101.3</v>
      </c>
      <c r="J2" s="1">
        <f>(I2*1000)</f>
        <v>101300</v>
      </c>
      <c r="K2" s="1">
        <f>((J2*F2)/(8.314*H2))</f>
        <v>2.0124824921938581E-5</v>
      </c>
      <c r="L2" s="28">
        <v>26.67821782178218</v>
      </c>
      <c r="M2" s="2">
        <f>(L2/1000000)</f>
        <v>2.6678217821782182E-5</v>
      </c>
      <c r="N2" s="3">
        <f>(3.142*3.07*3.07*25.4*25.4)/(4*1000000)</f>
        <v>4.7762865441819992E-3</v>
      </c>
      <c r="O2" s="2">
        <f>(M2*K2)/N2</f>
        <v>1.1240834441700319E-7</v>
      </c>
      <c r="P2" s="27">
        <f>O2*N2*6.02*10^(23)*2</f>
        <v>646420933322820.38</v>
      </c>
      <c r="Q2" s="21">
        <f>(2.032/1000)</f>
        <v>2.032E-3</v>
      </c>
      <c r="R2" s="21">
        <v>1.94149580791897E-10</v>
      </c>
      <c r="S2" s="2">
        <v>0.32</v>
      </c>
      <c r="T2" s="2">
        <f>(1+S2)*100000*1</f>
        <v>132000</v>
      </c>
      <c r="U2" s="2">
        <v>5.36358238306597E-3</v>
      </c>
      <c r="V2" s="11">
        <v>0.11</v>
      </c>
      <c r="W2" s="11">
        <f>(1+V2)*100000</f>
        <v>111000.00000000001</v>
      </c>
      <c r="X2" s="11">
        <f t="shared" ref="X2:X65" si="1">(M2*W2)</f>
        <v>2.9612821782178225</v>
      </c>
      <c r="Y2" s="11">
        <f>((O2*Q2/R2) + SQRT(X2))^2</f>
        <v>8.3944691089423422</v>
      </c>
      <c r="Z2" s="27">
        <f>(O2*U2)/(T2-Y2)</f>
        <v>4.5678012128092958E-15</v>
      </c>
      <c r="AA2" s="27">
        <f>(Z2*6.022E+23)</f>
        <v>2750729890.3537579</v>
      </c>
    </row>
    <row r="3" spans="1:27" x14ac:dyDescent="0.3">
      <c r="A3" s="26">
        <v>3</v>
      </c>
      <c r="B3" s="1">
        <f t="shared" ref="B3:B66" si="2">A3*60</f>
        <v>180</v>
      </c>
      <c r="C3" s="26">
        <f t="shared" ref="C3:C66" si="3">(A3/60)</f>
        <v>0.05</v>
      </c>
      <c r="D3" s="26">
        <v>20</v>
      </c>
      <c r="E3" s="26">
        <f t="shared" si="0"/>
        <v>29.146000000000001</v>
      </c>
      <c r="F3" s="26">
        <f t="shared" ref="F3:F66" si="4">(E3/(1000000*60))</f>
        <v>4.8576666666666667E-7</v>
      </c>
      <c r="G3" s="26">
        <v>21.1</v>
      </c>
      <c r="H3" s="26">
        <f t="shared" ref="H3:H66" si="5">(273+G3)</f>
        <v>294.10000000000002</v>
      </c>
      <c r="I3" s="26">
        <v>101.3</v>
      </c>
      <c r="J3" s="26">
        <f t="shared" ref="J3:J66" si="6">(I3*1000)</f>
        <v>101300</v>
      </c>
      <c r="K3" s="26">
        <f t="shared" ref="K3:K66" si="7">((J3*F3)/(8.314*H3))</f>
        <v>2.0124824921938581E-5</v>
      </c>
      <c r="L3" s="28">
        <v>26.85148514851485</v>
      </c>
      <c r="M3" s="27">
        <f t="shared" ref="M3:M66" si="8">(L3/1000000)</f>
        <v>2.6851485148514851E-5</v>
      </c>
      <c r="N3" s="29">
        <f t="shared" ref="N3:N66" si="9">(3.142*3.07*3.07*25.4*25.4)/(4*1000000)</f>
        <v>4.7762865441819992E-3</v>
      </c>
      <c r="O3" s="27">
        <f t="shared" ref="O3:O66" si="10">(M3*K3)/N3</f>
        <v>1.1313840417847933E-7</v>
      </c>
      <c r="P3" s="27">
        <f t="shared" ref="P3:P66" si="11">O3*N3*6.02*10^(23)*2</f>
        <v>650619250759505.88</v>
      </c>
      <c r="Q3" s="21">
        <f t="shared" ref="Q3:Q66" si="12">(2.032/1000)</f>
        <v>2.032E-3</v>
      </c>
      <c r="R3" s="21">
        <v>1.94149580791897E-10</v>
      </c>
      <c r="S3" s="2">
        <v>0.32</v>
      </c>
      <c r="T3" s="27">
        <f t="shared" ref="T3:T66" si="13">(1+S3)*100000*1</f>
        <v>132000</v>
      </c>
      <c r="U3" s="2">
        <v>5.36358238306597E-3</v>
      </c>
      <c r="V3" s="11">
        <v>0.11</v>
      </c>
      <c r="W3" s="30">
        <f t="shared" ref="W3:W66" si="14">(1+V3)*100000</f>
        <v>111000.00000000001</v>
      </c>
      <c r="X3" s="30">
        <f t="shared" si="1"/>
        <v>2.9805148514851489</v>
      </c>
      <c r="Y3" s="11">
        <f t="shared" ref="Y3:Y66" si="15">((O3*Q3/R3) + SQRT(X3))^2</f>
        <v>8.4712493246915432</v>
      </c>
      <c r="Z3" s="27">
        <f t="shared" ref="Z3:Z66" si="16">(O3*U3)/(T3-Y3)</f>
        <v>4.5974704380169118E-15</v>
      </c>
      <c r="AA3" s="27">
        <f t="shared" ref="AA3:AA66" si="17">(Z3*6.022E+23)</f>
        <v>2768596697.7737846</v>
      </c>
    </row>
    <row r="4" spans="1:27" x14ac:dyDescent="0.3">
      <c r="A4" s="26">
        <v>6</v>
      </c>
      <c r="B4" s="1">
        <f t="shared" si="2"/>
        <v>360</v>
      </c>
      <c r="C4" s="26">
        <f t="shared" si="3"/>
        <v>0.1</v>
      </c>
      <c r="D4" s="26">
        <v>20</v>
      </c>
      <c r="E4" s="26">
        <f t="shared" si="0"/>
        <v>29.146000000000001</v>
      </c>
      <c r="F4" s="26">
        <f t="shared" si="4"/>
        <v>4.8576666666666667E-7</v>
      </c>
      <c r="G4" s="26">
        <v>21.1</v>
      </c>
      <c r="H4" s="26">
        <f t="shared" si="5"/>
        <v>294.10000000000002</v>
      </c>
      <c r="I4" s="26">
        <v>101.3</v>
      </c>
      <c r="J4" s="26">
        <f t="shared" si="6"/>
        <v>101300</v>
      </c>
      <c r="K4" s="26">
        <f t="shared" si="7"/>
        <v>2.0124824921938581E-5</v>
      </c>
      <c r="L4" s="28">
        <v>19.301980198019805</v>
      </c>
      <c r="M4" s="27">
        <f t="shared" si="8"/>
        <v>1.9301980198019804E-5</v>
      </c>
      <c r="N4" s="29">
        <f t="shared" si="9"/>
        <v>4.7762865441819992E-3</v>
      </c>
      <c r="O4" s="27">
        <f t="shared" si="10"/>
        <v>8.132865742844598E-8</v>
      </c>
      <c r="P4" s="27">
        <f t="shared" si="11"/>
        <v>467692562446776.13</v>
      </c>
      <c r="Q4" s="21">
        <f t="shared" si="12"/>
        <v>2.032E-3</v>
      </c>
      <c r="R4" s="21">
        <v>1.94149580791897E-10</v>
      </c>
      <c r="S4" s="2">
        <v>0.32</v>
      </c>
      <c r="T4" s="27">
        <f t="shared" si="13"/>
        <v>132000</v>
      </c>
      <c r="U4" s="2">
        <v>5.36358238306597E-3</v>
      </c>
      <c r="V4" s="11">
        <v>0.11</v>
      </c>
      <c r="W4" s="30">
        <f t="shared" si="14"/>
        <v>111000.00000000001</v>
      </c>
      <c r="X4" s="30">
        <f t="shared" si="1"/>
        <v>2.1425198019801983</v>
      </c>
      <c r="Y4" s="11">
        <f t="shared" si="15"/>
        <v>5.3589165574460598</v>
      </c>
      <c r="Z4" s="27">
        <f t="shared" si="16"/>
        <v>3.3047777594687436E-15</v>
      </c>
      <c r="AA4" s="27">
        <f t="shared" si="17"/>
        <v>1990137166.7520776</v>
      </c>
    </row>
    <row r="5" spans="1:27" x14ac:dyDescent="0.3">
      <c r="A5" s="26">
        <v>9</v>
      </c>
      <c r="B5" s="1">
        <f t="shared" si="2"/>
        <v>540</v>
      </c>
      <c r="C5" s="26">
        <f t="shared" si="3"/>
        <v>0.15</v>
      </c>
      <c r="D5" s="26">
        <v>20</v>
      </c>
      <c r="E5" s="26">
        <f t="shared" si="0"/>
        <v>29.146000000000001</v>
      </c>
      <c r="F5" s="26">
        <f t="shared" si="4"/>
        <v>4.8576666666666667E-7</v>
      </c>
      <c r="G5" s="26">
        <v>21.1</v>
      </c>
      <c r="H5" s="26">
        <f t="shared" si="5"/>
        <v>294.10000000000002</v>
      </c>
      <c r="I5" s="26">
        <v>101.3</v>
      </c>
      <c r="J5" s="26">
        <f t="shared" si="6"/>
        <v>101300</v>
      </c>
      <c r="K5" s="26">
        <f t="shared" si="7"/>
        <v>2.0124824921938581E-5</v>
      </c>
      <c r="L5" s="28">
        <v>28.930693069306933</v>
      </c>
      <c r="M5" s="27">
        <f t="shared" si="8"/>
        <v>2.8930693069306934E-5</v>
      </c>
      <c r="N5" s="29">
        <f t="shared" si="9"/>
        <v>4.7762865441819992E-3</v>
      </c>
      <c r="O5" s="27">
        <f t="shared" si="10"/>
        <v>1.2189912131619347E-7</v>
      </c>
      <c r="P5" s="27">
        <f t="shared" si="11"/>
        <v>700999059999733.38</v>
      </c>
      <c r="Q5" s="21">
        <f t="shared" si="12"/>
        <v>2.032E-3</v>
      </c>
      <c r="R5" s="21">
        <v>1.94149580791897E-10</v>
      </c>
      <c r="S5" s="2">
        <v>0.32</v>
      </c>
      <c r="T5" s="27">
        <f t="shared" si="13"/>
        <v>132000</v>
      </c>
      <c r="U5" s="2">
        <v>5.36358238306597E-3</v>
      </c>
      <c r="V5" s="11">
        <v>0.11</v>
      </c>
      <c r="W5" s="30">
        <f t="shared" si="14"/>
        <v>111000.00000000001</v>
      </c>
      <c r="X5" s="30">
        <f t="shared" si="1"/>
        <v>3.2113069306930702</v>
      </c>
      <c r="Y5" s="11">
        <f t="shared" si="15"/>
        <v>9.4115644897686579</v>
      </c>
      <c r="Z5" s="27">
        <f t="shared" si="16"/>
        <v>4.9535045441683675E-15</v>
      </c>
      <c r="AA5" s="27">
        <f t="shared" si="17"/>
        <v>2983000436.4981909</v>
      </c>
    </row>
    <row r="6" spans="1:27" x14ac:dyDescent="0.3">
      <c r="A6" s="26">
        <v>12</v>
      </c>
      <c r="B6" s="1">
        <f t="shared" si="2"/>
        <v>720</v>
      </c>
      <c r="C6" s="26">
        <f t="shared" si="3"/>
        <v>0.2</v>
      </c>
      <c r="D6" s="26">
        <v>20</v>
      </c>
      <c r="E6" s="26">
        <f t="shared" si="0"/>
        <v>29.146000000000001</v>
      </c>
      <c r="F6" s="26">
        <f t="shared" si="4"/>
        <v>4.8576666666666667E-7</v>
      </c>
      <c r="G6" s="26">
        <v>21.1</v>
      </c>
      <c r="H6" s="26">
        <f t="shared" si="5"/>
        <v>294.10000000000002</v>
      </c>
      <c r="I6" s="26">
        <v>101.3</v>
      </c>
      <c r="J6" s="26">
        <f t="shared" si="6"/>
        <v>101300</v>
      </c>
      <c r="K6" s="26">
        <f t="shared" si="7"/>
        <v>2.0124824921938581E-5</v>
      </c>
      <c r="L6" s="28">
        <v>18.955445544554458</v>
      </c>
      <c r="M6" s="27">
        <f t="shared" si="8"/>
        <v>1.8955445544554457E-5</v>
      </c>
      <c r="N6" s="29">
        <f t="shared" si="9"/>
        <v>4.7762865441819992E-3</v>
      </c>
      <c r="O6" s="27">
        <f t="shared" si="10"/>
        <v>7.9868537905493626E-8</v>
      </c>
      <c r="P6" s="27">
        <f t="shared" si="11"/>
        <v>459295927573404.94</v>
      </c>
      <c r="Q6" s="21">
        <f t="shared" si="12"/>
        <v>2.032E-3</v>
      </c>
      <c r="R6" s="21">
        <v>1.94149580791897E-10</v>
      </c>
      <c r="S6" s="2">
        <v>0.32</v>
      </c>
      <c r="T6" s="27">
        <f t="shared" si="13"/>
        <v>132000</v>
      </c>
      <c r="U6" s="2">
        <v>5.36358238306597E-3</v>
      </c>
      <c r="V6" s="11">
        <v>0.11</v>
      </c>
      <c r="W6" s="30">
        <f t="shared" si="14"/>
        <v>111000.00000000001</v>
      </c>
      <c r="X6" s="30">
        <f t="shared" si="1"/>
        <v>2.1040544554455449</v>
      </c>
      <c r="Y6" s="11">
        <f t="shared" si="15"/>
        <v>5.2278653987926376</v>
      </c>
      <c r="Z6" s="27">
        <f t="shared" si="16"/>
        <v>3.2454428000701554E-15</v>
      </c>
      <c r="AA6" s="27">
        <f t="shared" si="17"/>
        <v>1954405654.2022476</v>
      </c>
    </row>
    <row r="7" spans="1:27" x14ac:dyDescent="0.3">
      <c r="A7" s="26">
        <v>15</v>
      </c>
      <c r="B7" s="1">
        <f t="shared" si="2"/>
        <v>900</v>
      </c>
      <c r="C7" s="26">
        <f t="shared" si="3"/>
        <v>0.25</v>
      </c>
      <c r="D7" s="26">
        <v>20</v>
      </c>
      <c r="E7" s="26">
        <f t="shared" si="0"/>
        <v>29.146000000000001</v>
      </c>
      <c r="F7" s="26">
        <f t="shared" si="4"/>
        <v>4.8576666666666667E-7</v>
      </c>
      <c r="G7" s="26">
        <v>21.1</v>
      </c>
      <c r="H7" s="26">
        <f t="shared" si="5"/>
        <v>294.10000000000002</v>
      </c>
      <c r="I7" s="26">
        <v>101.3</v>
      </c>
      <c r="J7" s="26">
        <f t="shared" si="6"/>
        <v>101300</v>
      </c>
      <c r="K7" s="26">
        <f t="shared" si="7"/>
        <v>2.0124824921938581E-5</v>
      </c>
      <c r="L7" s="28">
        <v>22.816831683168317</v>
      </c>
      <c r="M7" s="27">
        <f t="shared" si="8"/>
        <v>2.2816831683168318E-5</v>
      </c>
      <c r="N7" s="29">
        <f t="shared" si="9"/>
        <v>4.7762865441819992E-3</v>
      </c>
      <c r="O7" s="27">
        <f t="shared" si="10"/>
        <v>9.61384411612484E-8</v>
      </c>
      <c r="P7" s="27">
        <f t="shared" si="11"/>
        <v>552858430448112.63</v>
      </c>
      <c r="Q7" s="21">
        <f t="shared" si="12"/>
        <v>2.032E-3</v>
      </c>
      <c r="R7" s="21">
        <v>1.94149580791897E-10</v>
      </c>
      <c r="S7" s="2">
        <v>0.32</v>
      </c>
      <c r="T7" s="27">
        <f t="shared" si="13"/>
        <v>132000</v>
      </c>
      <c r="U7" s="2">
        <v>5.36358238306597E-3</v>
      </c>
      <c r="V7" s="11">
        <v>0.11</v>
      </c>
      <c r="W7" s="30">
        <f t="shared" si="14"/>
        <v>111000.00000000001</v>
      </c>
      <c r="X7" s="30">
        <f t="shared" si="1"/>
        <v>2.5326683168316837</v>
      </c>
      <c r="Y7" s="11">
        <f t="shared" si="15"/>
        <v>6.7477125344482189</v>
      </c>
      <c r="Z7" s="27">
        <f t="shared" si="16"/>
        <v>3.9066121973029337E-15</v>
      </c>
      <c r="AA7" s="27">
        <f t="shared" si="17"/>
        <v>2352561865.215827</v>
      </c>
    </row>
    <row r="8" spans="1:27" x14ac:dyDescent="0.3">
      <c r="A8" s="26">
        <v>18</v>
      </c>
      <c r="B8" s="1">
        <f t="shared" si="2"/>
        <v>1080</v>
      </c>
      <c r="C8" s="26">
        <f t="shared" si="3"/>
        <v>0.3</v>
      </c>
      <c r="D8" s="26">
        <v>20</v>
      </c>
      <c r="E8" s="26">
        <f t="shared" si="0"/>
        <v>29.146000000000001</v>
      </c>
      <c r="F8" s="26">
        <f t="shared" si="4"/>
        <v>4.8576666666666667E-7</v>
      </c>
      <c r="G8" s="26">
        <v>21.1</v>
      </c>
      <c r="H8" s="26">
        <f t="shared" si="5"/>
        <v>294.10000000000002</v>
      </c>
      <c r="I8" s="26">
        <v>101.3</v>
      </c>
      <c r="J8" s="26">
        <f t="shared" si="6"/>
        <v>101300</v>
      </c>
      <c r="K8" s="26">
        <f t="shared" si="7"/>
        <v>2.0124824921938581E-5</v>
      </c>
      <c r="L8" s="28">
        <v>22.792079207920793</v>
      </c>
      <c r="M8" s="27">
        <f t="shared" si="8"/>
        <v>2.2792079207920792E-5</v>
      </c>
      <c r="N8" s="29">
        <f t="shared" si="9"/>
        <v>4.7762865441819992E-3</v>
      </c>
      <c r="O8" s="27">
        <f t="shared" si="10"/>
        <v>9.6034146909608947E-8</v>
      </c>
      <c r="P8" s="27">
        <f t="shared" si="11"/>
        <v>552258670814300.38</v>
      </c>
      <c r="Q8" s="21">
        <f t="shared" si="12"/>
        <v>2.032E-3</v>
      </c>
      <c r="R8" s="21">
        <v>1.94149580791897E-10</v>
      </c>
      <c r="S8" s="2">
        <v>0.32</v>
      </c>
      <c r="T8" s="27">
        <f t="shared" si="13"/>
        <v>132000</v>
      </c>
      <c r="U8" s="2">
        <v>5.36358238306597E-3</v>
      </c>
      <c r="V8" s="11">
        <v>0.11</v>
      </c>
      <c r="W8" s="30">
        <f t="shared" si="14"/>
        <v>111000.00000000001</v>
      </c>
      <c r="X8" s="30">
        <f t="shared" si="1"/>
        <v>2.5299207920792082</v>
      </c>
      <c r="Y8" s="11">
        <f t="shared" si="15"/>
        <v>6.7375595159398367</v>
      </c>
      <c r="Z8" s="27">
        <f t="shared" si="16"/>
        <v>3.9023738713133276E-15</v>
      </c>
      <c r="AA8" s="27">
        <f t="shared" si="17"/>
        <v>2350009545.3048859</v>
      </c>
    </row>
    <row r="9" spans="1:27" x14ac:dyDescent="0.3">
      <c r="A9" s="26">
        <v>21</v>
      </c>
      <c r="B9" s="1">
        <f t="shared" si="2"/>
        <v>1260</v>
      </c>
      <c r="C9" s="26">
        <f t="shared" si="3"/>
        <v>0.35</v>
      </c>
      <c r="D9" s="26">
        <v>20</v>
      </c>
      <c r="E9" s="26">
        <f t="shared" si="0"/>
        <v>29.146000000000001</v>
      </c>
      <c r="F9" s="26">
        <f t="shared" si="4"/>
        <v>4.8576666666666667E-7</v>
      </c>
      <c r="G9" s="26">
        <v>21.1</v>
      </c>
      <c r="H9" s="26">
        <f t="shared" si="5"/>
        <v>294.10000000000002</v>
      </c>
      <c r="I9" s="26">
        <v>101.3</v>
      </c>
      <c r="J9" s="26">
        <f t="shared" si="6"/>
        <v>101300</v>
      </c>
      <c r="K9" s="26">
        <f t="shared" si="7"/>
        <v>2.0124824921938581E-5</v>
      </c>
      <c r="L9" s="28">
        <v>30.267326732673265</v>
      </c>
      <c r="M9" s="27">
        <f t="shared" si="8"/>
        <v>3.0267326732673266E-5</v>
      </c>
      <c r="N9" s="29">
        <f t="shared" si="9"/>
        <v>4.7762865441819992E-3</v>
      </c>
      <c r="O9" s="27">
        <f t="shared" si="10"/>
        <v>1.2753101090472395E-7</v>
      </c>
      <c r="P9" s="27">
        <f t="shared" si="11"/>
        <v>733386080225593.5</v>
      </c>
      <c r="Q9" s="21">
        <f t="shared" si="12"/>
        <v>2.032E-3</v>
      </c>
      <c r="R9" s="21">
        <v>1.94149580791897E-10</v>
      </c>
      <c r="S9" s="2">
        <v>0.32</v>
      </c>
      <c r="T9" s="27">
        <f t="shared" si="13"/>
        <v>132000</v>
      </c>
      <c r="U9" s="2">
        <v>5.36358238306597E-3</v>
      </c>
      <c r="V9" s="11">
        <v>0.11</v>
      </c>
      <c r="W9" s="30">
        <f t="shared" si="14"/>
        <v>111000.00000000001</v>
      </c>
      <c r="X9" s="30">
        <f t="shared" si="1"/>
        <v>3.3596732673267331</v>
      </c>
      <c r="Y9" s="11">
        <f t="shared" si="15"/>
        <v>10.034327969180016</v>
      </c>
      <c r="Z9" s="27">
        <f t="shared" si="16"/>
        <v>5.1823870087430345E-15</v>
      </c>
      <c r="AA9" s="27">
        <f t="shared" si="17"/>
        <v>3120833456.6650553</v>
      </c>
    </row>
    <row r="10" spans="1:27" x14ac:dyDescent="0.3">
      <c r="A10" s="26">
        <v>24</v>
      </c>
      <c r="B10" s="1">
        <f t="shared" si="2"/>
        <v>1440</v>
      </c>
      <c r="C10" s="26">
        <f t="shared" si="3"/>
        <v>0.4</v>
      </c>
      <c r="D10" s="26">
        <v>20</v>
      </c>
      <c r="E10" s="26">
        <f t="shared" si="0"/>
        <v>29.146000000000001</v>
      </c>
      <c r="F10" s="26">
        <f t="shared" si="4"/>
        <v>4.8576666666666667E-7</v>
      </c>
      <c r="G10" s="26">
        <v>21.1</v>
      </c>
      <c r="H10" s="26">
        <f t="shared" si="5"/>
        <v>294.10000000000002</v>
      </c>
      <c r="I10" s="26">
        <v>101.3</v>
      </c>
      <c r="J10" s="26">
        <f t="shared" si="6"/>
        <v>101300</v>
      </c>
      <c r="K10" s="26">
        <f t="shared" si="7"/>
        <v>2.0124824921938581E-5</v>
      </c>
      <c r="L10" s="28">
        <v>39.945544554455445</v>
      </c>
      <c r="M10" s="27">
        <f t="shared" si="8"/>
        <v>3.9945544554455447E-5</v>
      </c>
      <c r="N10" s="29">
        <f t="shared" si="9"/>
        <v>4.7762865441819992E-3</v>
      </c>
      <c r="O10" s="27">
        <f t="shared" si="10"/>
        <v>1.6831006329575036E-7</v>
      </c>
      <c r="P10" s="27">
        <f t="shared" si="11"/>
        <v>967892097046175.13</v>
      </c>
      <c r="Q10" s="21">
        <f t="shared" si="12"/>
        <v>2.032E-3</v>
      </c>
      <c r="R10" s="21">
        <v>1.94149580791897E-10</v>
      </c>
      <c r="S10" s="2">
        <v>0.32</v>
      </c>
      <c r="T10" s="27">
        <f t="shared" si="13"/>
        <v>132000</v>
      </c>
      <c r="U10" s="2">
        <v>5.36358238306597E-3</v>
      </c>
      <c r="V10" s="11">
        <v>0.11</v>
      </c>
      <c r="W10" s="30">
        <f t="shared" si="14"/>
        <v>111000.00000000001</v>
      </c>
      <c r="X10" s="30">
        <f t="shared" si="1"/>
        <v>4.4339554455445551</v>
      </c>
      <c r="Y10" s="11">
        <f t="shared" si="15"/>
        <v>14.955665141472737</v>
      </c>
      <c r="Z10" s="27">
        <f t="shared" si="16"/>
        <v>6.8397513895245272E-15</v>
      </c>
      <c r="AA10" s="27">
        <f t="shared" si="17"/>
        <v>4118898286.7716703</v>
      </c>
    </row>
    <row r="11" spans="1:27" x14ac:dyDescent="0.3">
      <c r="A11" s="26">
        <v>27</v>
      </c>
      <c r="B11" s="1">
        <f t="shared" si="2"/>
        <v>1620</v>
      </c>
      <c r="C11" s="26">
        <f t="shared" si="3"/>
        <v>0.45</v>
      </c>
      <c r="D11" s="26">
        <v>20</v>
      </c>
      <c r="E11" s="26">
        <f t="shared" si="0"/>
        <v>29.146000000000001</v>
      </c>
      <c r="F11" s="26">
        <f t="shared" si="4"/>
        <v>4.8576666666666667E-7</v>
      </c>
      <c r="G11" s="26">
        <v>21.1</v>
      </c>
      <c r="H11" s="26">
        <f t="shared" si="5"/>
        <v>294.10000000000002</v>
      </c>
      <c r="I11" s="26">
        <v>101.3</v>
      </c>
      <c r="J11" s="26">
        <f t="shared" si="6"/>
        <v>101300</v>
      </c>
      <c r="K11" s="26">
        <f t="shared" si="7"/>
        <v>2.0124824921938581E-5</v>
      </c>
      <c r="L11" s="28">
        <v>54.648514851485153</v>
      </c>
      <c r="M11" s="27">
        <f t="shared" si="8"/>
        <v>5.4648514851485151E-5</v>
      </c>
      <c r="N11" s="29">
        <f t="shared" si="9"/>
        <v>4.7762865441819992E-3</v>
      </c>
      <c r="O11" s="27">
        <f t="shared" si="10"/>
        <v>2.3026084876958582E-7</v>
      </c>
      <c r="P11" s="27">
        <f t="shared" si="11"/>
        <v>1324149319530639</v>
      </c>
      <c r="Q11" s="21">
        <f t="shared" si="12"/>
        <v>2.032E-3</v>
      </c>
      <c r="R11" s="21">
        <v>1.94149580791897E-10</v>
      </c>
      <c r="S11" s="2">
        <v>0.32</v>
      </c>
      <c r="T11" s="27">
        <f t="shared" si="13"/>
        <v>132000</v>
      </c>
      <c r="U11" s="2">
        <v>5.36358238306597E-3</v>
      </c>
      <c r="V11" s="11">
        <v>0.11</v>
      </c>
      <c r="W11" s="30">
        <f t="shared" si="14"/>
        <v>111000.00000000001</v>
      </c>
      <c r="X11" s="30">
        <f t="shared" si="1"/>
        <v>6.0659851485148524</v>
      </c>
      <c r="Y11" s="11">
        <f t="shared" si="15"/>
        <v>23.744845239450925</v>
      </c>
      <c r="Z11" s="27">
        <f t="shared" si="16"/>
        <v>9.3579184416327874E-15</v>
      </c>
      <c r="AA11" s="27">
        <f t="shared" si="17"/>
        <v>5635338485.5512648</v>
      </c>
    </row>
    <row r="12" spans="1:27" x14ac:dyDescent="0.3">
      <c r="A12" s="26">
        <v>30</v>
      </c>
      <c r="B12" s="1">
        <f t="shared" si="2"/>
        <v>1800</v>
      </c>
      <c r="C12" s="26">
        <f t="shared" si="3"/>
        <v>0.5</v>
      </c>
      <c r="D12" s="26">
        <v>20</v>
      </c>
      <c r="E12" s="26">
        <f t="shared" si="0"/>
        <v>29.146000000000001</v>
      </c>
      <c r="F12" s="26">
        <f t="shared" si="4"/>
        <v>4.8576666666666667E-7</v>
      </c>
      <c r="G12" s="26">
        <v>21.1</v>
      </c>
      <c r="H12" s="26">
        <f t="shared" si="5"/>
        <v>294.10000000000002</v>
      </c>
      <c r="I12" s="26">
        <v>101.3</v>
      </c>
      <c r="J12" s="26">
        <f t="shared" si="6"/>
        <v>101300</v>
      </c>
      <c r="K12" s="26">
        <f t="shared" si="7"/>
        <v>2.0124824921938581E-5</v>
      </c>
      <c r="L12" s="28">
        <v>79.103960396039611</v>
      </c>
      <c r="M12" s="27">
        <f t="shared" si="8"/>
        <v>7.910396039603961E-5</v>
      </c>
      <c r="N12" s="29">
        <f t="shared" si="9"/>
        <v>4.7762865441819992E-3</v>
      </c>
      <c r="O12" s="27">
        <f t="shared" si="10"/>
        <v>3.3330356938936604E-7</v>
      </c>
      <c r="P12" s="27">
        <f t="shared" si="11"/>
        <v>1916711837737121</v>
      </c>
      <c r="Q12" s="21">
        <f t="shared" si="12"/>
        <v>2.032E-3</v>
      </c>
      <c r="R12" s="21">
        <v>1.94149580791897E-10</v>
      </c>
      <c r="S12" s="2">
        <v>0.32</v>
      </c>
      <c r="T12" s="27">
        <f t="shared" si="13"/>
        <v>132000</v>
      </c>
      <c r="U12" s="2">
        <v>5.36358238306597E-3</v>
      </c>
      <c r="V12" s="11">
        <v>0.11</v>
      </c>
      <c r="W12" s="30">
        <f t="shared" si="14"/>
        <v>111000.00000000001</v>
      </c>
      <c r="X12" s="30">
        <f t="shared" si="1"/>
        <v>8.7805396039603973</v>
      </c>
      <c r="Y12" s="11">
        <f t="shared" si="15"/>
        <v>41.623207417510997</v>
      </c>
      <c r="Z12" s="27">
        <f t="shared" si="16"/>
        <v>1.3547462438097363E-14</v>
      </c>
      <c r="AA12" s="27">
        <f t="shared" si="17"/>
        <v>8158281880.2222319</v>
      </c>
    </row>
    <row r="13" spans="1:27" x14ac:dyDescent="0.3">
      <c r="A13" s="26">
        <v>33</v>
      </c>
      <c r="B13" s="1">
        <f t="shared" si="2"/>
        <v>1980</v>
      </c>
      <c r="C13" s="26">
        <f t="shared" si="3"/>
        <v>0.55000000000000004</v>
      </c>
      <c r="D13" s="26">
        <v>20</v>
      </c>
      <c r="E13" s="26">
        <f t="shared" si="0"/>
        <v>29.146000000000001</v>
      </c>
      <c r="F13" s="26">
        <f t="shared" si="4"/>
        <v>4.8576666666666667E-7</v>
      </c>
      <c r="G13" s="26">
        <v>21.1</v>
      </c>
      <c r="H13" s="26">
        <f t="shared" si="5"/>
        <v>294.10000000000002</v>
      </c>
      <c r="I13" s="26">
        <v>101.3</v>
      </c>
      <c r="J13" s="26">
        <f t="shared" si="6"/>
        <v>101300</v>
      </c>
      <c r="K13" s="26">
        <f t="shared" si="7"/>
        <v>2.0124824921938581E-5</v>
      </c>
      <c r="L13" s="28">
        <v>109.02970297029705</v>
      </c>
      <c r="M13" s="27">
        <f t="shared" si="8"/>
        <v>1.0902970297029705E-4</v>
      </c>
      <c r="N13" s="29">
        <f t="shared" si="9"/>
        <v>4.7762865441819992E-3</v>
      </c>
      <c r="O13" s="27">
        <f t="shared" si="10"/>
        <v>4.593953196214656E-7</v>
      </c>
      <c r="P13" s="27">
        <f t="shared" si="11"/>
        <v>2641821235016106.5</v>
      </c>
      <c r="Q13" s="21">
        <f t="shared" si="12"/>
        <v>2.032E-3</v>
      </c>
      <c r="R13" s="21">
        <v>1.94149580791897E-10</v>
      </c>
      <c r="S13" s="2">
        <v>0.32</v>
      </c>
      <c r="T13" s="27">
        <f t="shared" si="13"/>
        <v>132000</v>
      </c>
      <c r="U13" s="2">
        <v>5.36358238306597E-3</v>
      </c>
      <c r="V13" s="11">
        <v>0.11</v>
      </c>
      <c r="W13" s="30">
        <f t="shared" si="14"/>
        <v>111000.00000000001</v>
      </c>
      <c r="X13" s="30">
        <f t="shared" si="1"/>
        <v>12.102297029702974</v>
      </c>
      <c r="Y13" s="11">
        <f t="shared" si="15"/>
        <v>68.67336030375219</v>
      </c>
      <c r="Z13" s="27">
        <f t="shared" si="16"/>
        <v>1.867641829990717E-14</v>
      </c>
      <c r="AA13" s="27">
        <f t="shared" si="17"/>
        <v>11246939100.204098</v>
      </c>
    </row>
    <row r="14" spans="1:27" x14ac:dyDescent="0.3">
      <c r="A14" s="26">
        <v>36</v>
      </c>
      <c r="B14" s="1">
        <f t="shared" si="2"/>
        <v>2160</v>
      </c>
      <c r="C14" s="26">
        <f t="shared" si="3"/>
        <v>0.6</v>
      </c>
      <c r="D14" s="26">
        <v>20</v>
      </c>
      <c r="E14" s="26">
        <f t="shared" si="0"/>
        <v>29.146000000000001</v>
      </c>
      <c r="F14" s="26">
        <f t="shared" si="4"/>
        <v>4.8576666666666667E-7</v>
      </c>
      <c r="G14" s="26">
        <v>21.1</v>
      </c>
      <c r="H14" s="26">
        <f t="shared" si="5"/>
        <v>294.10000000000002</v>
      </c>
      <c r="I14" s="26">
        <v>101.3</v>
      </c>
      <c r="J14" s="26">
        <f t="shared" si="6"/>
        <v>101300</v>
      </c>
      <c r="K14" s="26">
        <f t="shared" si="7"/>
        <v>2.0124824921938581E-5</v>
      </c>
      <c r="L14" s="28">
        <v>142.51980198019803</v>
      </c>
      <c r="M14" s="27">
        <f t="shared" si="8"/>
        <v>1.4251980198019801E-4</v>
      </c>
      <c r="N14" s="29">
        <f t="shared" si="9"/>
        <v>4.7762865441819992E-3</v>
      </c>
      <c r="O14" s="27">
        <f t="shared" si="10"/>
        <v>6.0050544208964632E-7</v>
      </c>
      <c r="P14" s="27">
        <f t="shared" si="11"/>
        <v>3453296019564051.5</v>
      </c>
      <c r="Q14" s="21">
        <f t="shared" si="12"/>
        <v>2.032E-3</v>
      </c>
      <c r="R14" s="21">
        <v>1.94149580791897E-10</v>
      </c>
      <c r="S14" s="2">
        <v>0.32</v>
      </c>
      <c r="T14" s="27">
        <f t="shared" si="13"/>
        <v>132000</v>
      </c>
      <c r="U14" s="2">
        <v>5.36358238306597E-3</v>
      </c>
      <c r="V14" s="11">
        <v>0.11</v>
      </c>
      <c r="W14" s="30">
        <f t="shared" si="14"/>
        <v>111000.00000000001</v>
      </c>
      <c r="X14" s="30">
        <f t="shared" si="1"/>
        <v>15.819698019801981</v>
      </c>
      <c r="Y14" s="11">
        <f t="shared" si="15"/>
        <v>105.31649771838747</v>
      </c>
      <c r="Z14" s="27">
        <f t="shared" si="16"/>
        <v>2.4419941157609682E-14</v>
      </c>
      <c r="AA14" s="27">
        <f t="shared" si="17"/>
        <v>14705688565.112551</v>
      </c>
    </row>
    <row r="15" spans="1:27" x14ac:dyDescent="0.3">
      <c r="A15" s="26">
        <v>39</v>
      </c>
      <c r="B15" s="1">
        <f t="shared" si="2"/>
        <v>2340</v>
      </c>
      <c r="C15" s="26">
        <f t="shared" si="3"/>
        <v>0.65</v>
      </c>
      <c r="D15" s="26">
        <v>20</v>
      </c>
      <c r="E15" s="26">
        <f t="shared" si="0"/>
        <v>29.146000000000001</v>
      </c>
      <c r="F15" s="26">
        <f t="shared" si="4"/>
        <v>4.8576666666666667E-7</v>
      </c>
      <c r="G15" s="26">
        <v>21.1</v>
      </c>
      <c r="H15" s="26">
        <f t="shared" si="5"/>
        <v>294.10000000000002</v>
      </c>
      <c r="I15" s="26">
        <v>101.3</v>
      </c>
      <c r="J15" s="26">
        <f t="shared" si="6"/>
        <v>101300</v>
      </c>
      <c r="K15" s="26">
        <f t="shared" si="7"/>
        <v>2.0124824921938581E-5</v>
      </c>
      <c r="L15" s="28">
        <v>184.37623762376239</v>
      </c>
      <c r="M15" s="27">
        <f t="shared" si="8"/>
        <v>1.8437623762376239E-4</v>
      </c>
      <c r="N15" s="29">
        <f t="shared" si="9"/>
        <v>4.7762865441819992E-3</v>
      </c>
      <c r="O15" s="27">
        <f t="shared" si="10"/>
        <v>7.768670216119626E-7</v>
      </c>
      <c r="P15" s="27">
        <f t="shared" si="11"/>
        <v>4467489560340531.5</v>
      </c>
      <c r="Q15" s="21">
        <f t="shared" si="12"/>
        <v>2.032E-3</v>
      </c>
      <c r="R15" s="21">
        <v>1.94149580791897E-10</v>
      </c>
      <c r="S15" s="2">
        <v>0.32</v>
      </c>
      <c r="T15" s="27">
        <f t="shared" si="13"/>
        <v>132000</v>
      </c>
      <c r="U15" s="2">
        <v>5.36358238306597E-3</v>
      </c>
      <c r="V15" s="11">
        <v>0.11</v>
      </c>
      <c r="W15" s="30">
        <f t="shared" si="14"/>
        <v>111000.00000000001</v>
      </c>
      <c r="X15" s="30">
        <f t="shared" si="1"/>
        <v>20.465762376237628</v>
      </c>
      <c r="Y15" s="11">
        <f t="shared" si="15"/>
        <v>160.14199689932892</v>
      </c>
      <c r="Z15" s="27">
        <f t="shared" si="16"/>
        <v>3.1604935974709984E-14</v>
      </c>
      <c r="AA15" s="27">
        <f t="shared" si="17"/>
        <v>19032492443.970352</v>
      </c>
    </row>
    <row r="16" spans="1:27" x14ac:dyDescent="0.3">
      <c r="A16" s="26">
        <v>42</v>
      </c>
      <c r="B16" s="1">
        <f t="shared" si="2"/>
        <v>2520</v>
      </c>
      <c r="C16" s="26">
        <f t="shared" si="3"/>
        <v>0.7</v>
      </c>
      <c r="D16" s="26">
        <v>20</v>
      </c>
      <c r="E16" s="26">
        <f t="shared" si="0"/>
        <v>29.146000000000001</v>
      </c>
      <c r="F16" s="26">
        <f t="shared" si="4"/>
        <v>4.8576666666666667E-7</v>
      </c>
      <c r="G16" s="26">
        <v>21.1</v>
      </c>
      <c r="H16" s="26">
        <f t="shared" si="5"/>
        <v>294.10000000000002</v>
      </c>
      <c r="I16" s="26">
        <v>101.3</v>
      </c>
      <c r="J16" s="26">
        <f t="shared" si="6"/>
        <v>101300</v>
      </c>
      <c r="K16" s="26">
        <f t="shared" si="7"/>
        <v>2.0124824921938581E-5</v>
      </c>
      <c r="L16" s="28">
        <v>234.87128712871291</v>
      </c>
      <c r="M16" s="27">
        <f t="shared" si="8"/>
        <v>2.3487128712871292E-4</v>
      </c>
      <c r="N16" s="29">
        <f t="shared" si="9"/>
        <v>4.7762865441819992E-3</v>
      </c>
      <c r="O16" s="27">
        <f t="shared" si="10"/>
        <v>9.8962729495644814E-7</v>
      </c>
      <c r="P16" s="27">
        <f t="shared" si="11"/>
        <v>5690999213317478</v>
      </c>
      <c r="Q16" s="21">
        <f t="shared" si="12"/>
        <v>2.032E-3</v>
      </c>
      <c r="R16" s="21">
        <v>1.94149580791897E-10</v>
      </c>
      <c r="S16" s="2">
        <v>0.32</v>
      </c>
      <c r="T16" s="27">
        <f t="shared" si="13"/>
        <v>132000</v>
      </c>
      <c r="U16" s="2">
        <v>5.36358238306597E-3</v>
      </c>
      <c r="V16" s="11">
        <v>0.11</v>
      </c>
      <c r="W16" s="30">
        <f t="shared" si="14"/>
        <v>111000.00000000001</v>
      </c>
      <c r="X16" s="30">
        <f t="shared" si="1"/>
        <v>26.070712871287139</v>
      </c>
      <c r="Y16" s="11">
        <f t="shared" si="15"/>
        <v>239.12117583514123</v>
      </c>
      <c r="Z16" s="27">
        <f t="shared" si="16"/>
        <v>4.0284700378426452E-14</v>
      </c>
      <c r="AA16" s="27">
        <f t="shared" si="17"/>
        <v>24259446567.888409</v>
      </c>
    </row>
    <row r="17" spans="1:78" s="4" customFormat="1" x14ac:dyDescent="0.3">
      <c r="A17" s="26">
        <v>45</v>
      </c>
      <c r="B17" s="1">
        <f t="shared" si="2"/>
        <v>2700</v>
      </c>
      <c r="C17" s="26">
        <f t="shared" si="3"/>
        <v>0.75</v>
      </c>
      <c r="D17" s="26">
        <v>20</v>
      </c>
      <c r="E17" s="26">
        <f t="shared" si="0"/>
        <v>29.146000000000001</v>
      </c>
      <c r="F17" s="26">
        <f t="shared" si="4"/>
        <v>4.8576666666666667E-7</v>
      </c>
      <c r="G17" s="26">
        <v>21.1</v>
      </c>
      <c r="H17" s="26">
        <f t="shared" si="5"/>
        <v>294.10000000000002</v>
      </c>
      <c r="I17" s="26">
        <v>101.3</v>
      </c>
      <c r="J17" s="26">
        <f t="shared" si="6"/>
        <v>101300</v>
      </c>
      <c r="K17" s="26">
        <f t="shared" si="7"/>
        <v>2.0124824921938581E-5</v>
      </c>
      <c r="L17" s="28">
        <v>250.36633663366339</v>
      </c>
      <c r="M17" s="27">
        <f t="shared" si="8"/>
        <v>2.503663366336634E-4</v>
      </c>
      <c r="N17" s="29">
        <f t="shared" si="9"/>
        <v>4.7762865441819992E-3</v>
      </c>
      <c r="O17" s="27">
        <f t="shared" si="10"/>
        <v>1.0549154964827463E-6</v>
      </c>
      <c r="P17" s="27">
        <f t="shared" si="11"/>
        <v>6066448744083934</v>
      </c>
      <c r="Q17" s="21">
        <f t="shared" si="12"/>
        <v>2.032E-3</v>
      </c>
      <c r="R17" s="21">
        <v>1.94149580791897E-10</v>
      </c>
      <c r="S17" s="2">
        <v>0.32</v>
      </c>
      <c r="T17" s="27">
        <f t="shared" si="13"/>
        <v>132000</v>
      </c>
      <c r="U17" s="2">
        <v>5.36358238306597E-3</v>
      </c>
      <c r="V17" s="11">
        <v>0.11</v>
      </c>
      <c r="W17" s="30">
        <f t="shared" si="14"/>
        <v>111000.00000000001</v>
      </c>
      <c r="X17" s="30">
        <f t="shared" si="1"/>
        <v>27.790663366336641</v>
      </c>
      <c r="Y17" s="11">
        <f t="shared" si="15"/>
        <v>266.10079803758043</v>
      </c>
      <c r="Z17" s="27">
        <f t="shared" si="16"/>
        <v>4.2951178146512042E-14</v>
      </c>
      <c r="AA17" s="27">
        <f t="shared" si="17"/>
        <v>25865199479.829552</v>
      </c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</row>
    <row r="18" spans="1:78" s="4" customFormat="1" x14ac:dyDescent="0.3">
      <c r="A18" s="26">
        <v>48</v>
      </c>
      <c r="B18" s="1">
        <f t="shared" si="2"/>
        <v>2880</v>
      </c>
      <c r="C18" s="26">
        <f t="shared" si="3"/>
        <v>0.8</v>
      </c>
      <c r="D18" s="26">
        <v>20</v>
      </c>
      <c r="E18" s="26">
        <f t="shared" si="0"/>
        <v>29.146000000000001</v>
      </c>
      <c r="F18" s="26">
        <f t="shared" si="4"/>
        <v>4.8576666666666667E-7</v>
      </c>
      <c r="G18" s="26">
        <v>21.1</v>
      </c>
      <c r="H18" s="26">
        <f t="shared" si="5"/>
        <v>294.10000000000002</v>
      </c>
      <c r="I18" s="26">
        <v>101.3</v>
      </c>
      <c r="J18" s="26">
        <f t="shared" si="6"/>
        <v>101300</v>
      </c>
      <c r="K18" s="26">
        <f t="shared" si="7"/>
        <v>2.0124824921938581E-5</v>
      </c>
      <c r="L18" s="28">
        <v>298.36138613861391</v>
      </c>
      <c r="M18" s="27">
        <f t="shared" si="8"/>
        <v>2.9836138613861389E-4</v>
      </c>
      <c r="N18" s="29">
        <f t="shared" si="9"/>
        <v>4.7762865441819992E-3</v>
      </c>
      <c r="O18" s="27">
        <f t="shared" si="10"/>
        <v>1.2571420504116469E-6</v>
      </c>
      <c r="P18" s="27">
        <f t="shared" si="11"/>
        <v>7229382674045846</v>
      </c>
      <c r="Q18" s="21">
        <f t="shared" si="12"/>
        <v>2.032E-3</v>
      </c>
      <c r="R18" s="21">
        <v>1.94149580791897E-10</v>
      </c>
      <c r="S18" s="2">
        <v>0.32</v>
      </c>
      <c r="T18" s="27">
        <f t="shared" si="13"/>
        <v>132000</v>
      </c>
      <c r="U18" s="2">
        <v>5.36358238306597E-3</v>
      </c>
      <c r="V18" s="11">
        <v>0.11</v>
      </c>
      <c r="W18" s="30">
        <f t="shared" si="14"/>
        <v>111000.00000000001</v>
      </c>
      <c r="X18" s="30">
        <f t="shared" si="1"/>
        <v>33.118113861386149</v>
      </c>
      <c r="Y18" s="11">
        <f t="shared" si="15"/>
        <v>357.67433727383877</v>
      </c>
      <c r="Z18" s="27">
        <f t="shared" si="16"/>
        <v>5.1220494021616374E-14</v>
      </c>
      <c r="AA18" s="27">
        <f t="shared" si="17"/>
        <v>30844981499.817383</v>
      </c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</row>
    <row r="19" spans="1:78" s="4" customFormat="1" x14ac:dyDescent="0.3">
      <c r="A19" s="26">
        <v>51</v>
      </c>
      <c r="B19" s="1">
        <f t="shared" si="2"/>
        <v>3060</v>
      </c>
      <c r="C19" s="26">
        <f t="shared" si="3"/>
        <v>0.85</v>
      </c>
      <c r="D19" s="26">
        <v>20</v>
      </c>
      <c r="E19" s="26">
        <f t="shared" si="0"/>
        <v>29.146000000000001</v>
      </c>
      <c r="F19" s="26">
        <f t="shared" si="4"/>
        <v>4.8576666666666667E-7</v>
      </c>
      <c r="G19" s="26">
        <v>21.1</v>
      </c>
      <c r="H19" s="26">
        <f t="shared" si="5"/>
        <v>294.10000000000002</v>
      </c>
      <c r="I19" s="26">
        <v>101.3</v>
      </c>
      <c r="J19" s="26">
        <f t="shared" si="6"/>
        <v>101300</v>
      </c>
      <c r="K19" s="26">
        <f t="shared" si="7"/>
        <v>2.0124824921938581E-5</v>
      </c>
      <c r="L19" s="28">
        <v>318.3366336633664</v>
      </c>
      <c r="M19" s="27">
        <f t="shared" si="8"/>
        <v>3.1833663366336642E-4</v>
      </c>
      <c r="N19" s="29">
        <f t="shared" si="9"/>
        <v>4.7762865441819992E-3</v>
      </c>
      <c r="O19" s="27">
        <f t="shared" si="10"/>
        <v>1.3413075114846862E-6</v>
      </c>
      <c r="P19" s="27">
        <f t="shared" si="11"/>
        <v>7713388698532317</v>
      </c>
      <c r="Q19" s="21">
        <f t="shared" si="12"/>
        <v>2.032E-3</v>
      </c>
      <c r="R19" s="21">
        <v>1.94149580791897E-10</v>
      </c>
      <c r="S19" s="2">
        <v>0.32</v>
      </c>
      <c r="T19" s="27">
        <f t="shared" si="13"/>
        <v>132000</v>
      </c>
      <c r="U19" s="2">
        <v>5.36358238306597E-3</v>
      </c>
      <c r="V19" s="11">
        <v>0.11</v>
      </c>
      <c r="W19" s="30">
        <f t="shared" si="14"/>
        <v>111000.00000000001</v>
      </c>
      <c r="X19" s="30">
        <f t="shared" si="1"/>
        <v>35.335366336633676</v>
      </c>
      <c r="Y19" s="11">
        <f t="shared" si="15"/>
        <v>399.30793481487558</v>
      </c>
      <c r="Z19" s="27">
        <f t="shared" si="16"/>
        <v>5.4666987125796003E-14</v>
      </c>
      <c r="AA19" s="27">
        <f t="shared" si="17"/>
        <v>32920459647.154354</v>
      </c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</row>
    <row r="20" spans="1:78" s="4" customFormat="1" x14ac:dyDescent="0.3">
      <c r="A20" s="26">
        <v>54</v>
      </c>
      <c r="B20" s="1">
        <f t="shared" si="2"/>
        <v>3240</v>
      </c>
      <c r="C20" s="26">
        <f t="shared" si="3"/>
        <v>0.9</v>
      </c>
      <c r="D20" s="26">
        <v>20</v>
      </c>
      <c r="E20" s="26">
        <f t="shared" si="0"/>
        <v>29.146000000000001</v>
      </c>
      <c r="F20" s="26">
        <f t="shared" si="4"/>
        <v>4.8576666666666667E-7</v>
      </c>
      <c r="G20" s="26">
        <v>21.1</v>
      </c>
      <c r="H20" s="26">
        <f t="shared" si="5"/>
        <v>294.10000000000002</v>
      </c>
      <c r="I20" s="26">
        <v>101.3</v>
      </c>
      <c r="J20" s="26">
        <f t="shared" si="6"/>
        <v>101300</v>
      </c>
      <c r="K20" s="26">
        <f t="shared" si="7"/>
        <v>2.0124824921938581E-5</v>
      </c>
      <c r="L20" s="28">
        <v>334.10396039603961</v>
      </c>
      <c r="M20" s="27">
        <f t="shared" si="8"/>
        <v>3.3410396039603959E-4</v>
      </c>
      <c r="N20" s="29">
        <f t="shared" si="9"/>
        <v>4.7762865441819992E-3</v>
      </c>
      <c r="O20" s="27">
        <f t="shared" si="10"/>
        <v>1.4077429497790176E-6</v>
      </c>
      <c r="P20" s="27">
        <f t="shared" si="11"/>
        <v>8095435585270702</v>
      </c>
      <c r="Q20" s="21">
        <f t="shared" si="12"/>
        <v>2.032E-3</v>
      </c>
      <c r="R20" s="21">
        <v>1.94149580791897E-10</v>
      </c>
      <c r="S20" s="2">
        <v>0.32</v>
      </c>
      <c r="T20" s="27">
        <f t="shared" si="13"/>
        <v>132000</v>
      </c>
      <c r="U20" s="2">
        <v>5.36358238306597E-3</v>
      </c>
      <c r="V20" s="11">
        <v>0.11</v>
      </c>
      <c r="W20" s="30">
        <f t="shared" si="14"/>
        <v>111000.00000000001</v>
      </c>
      <c r="X20" s="30">
        <f t="shared" si="1"/>
        <v>37.085539603960399</v>
      </c>
      <c r="Y20" s="11">
        <f t="shared" si="15"/>
        <v>433.61600969729227</v>
      </c>
      <c r="Z20" s="27">
        <f t="shared" si="16"/>
        <v>5.7389623825768331E-14</v>
      </c>
      <c r="AA20" s="27">
        <f t="shared" si="17"/>
        <v>34560031467.877693</v>
      </c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</row>
    <row r="21" spans="1:78" s="4" customFormat="1" x14ac:dyDescent="0.3">
      <c r="A21" s="26">
        <v>57</v>
      </c>
      <c r="B21" s="1">
        <f t="shared" si="2"/>
        <v>3420</v>
      </c>
      <c r="C21" s="26">
        <f t="shared" si="3"/>
        <v>0.95</v>
      </c>
      <c r="D21" s="26">
        <v>20</v>
      </c>
      <c r="E21" s="26">
        <f t="shared" si="0"/>
        <v>29.146000000000001</v>
      </c>
      <c r="F21" s="26">
        <f t="shared" si="4"/>
        <v>4.8576666666666667E-7</v>
      </c>
      <c r="G21" s="26">
        <v>21.1</v>
      </c>
      <c r="H21" s="26">
        <f t="shared" si="5"/>
        <v>294.10000000000002</v>
      </c>
      <c r="I21" s="26">
        <v>101.3</v>
      </c>
      <c r="J21" s="26">
        <f t="shared" si="6"/>
        <v>101300</v>
      </c>
      <c r="K21" s="26">
        <f t="shared" si="7"/>
        <v>2.0124824921938581E-5</v>
      </c>
      <c r="L21" s="28">
        <v>352.54455445544556</v>
      </c>
      <c r="M21" s="27">
        <f t="shared" si="8"/>
        <v>3.5254455445544558E-4</v>
      </c>
      <c r="N21" s="29">
        <f t="shared" si="9"/>
        <v>4.7762865441819992E-3</v>
      </c>
      <c r="O21" s="27">
        <f t="shared" si="10"/>
        <v>1.4854421672504109E-6</v>
      </c>
      <c r="P21" s="27">
        <f t="shared" si="11"/>
        <v>8542256512460814</v>
      </c>
      <c r="Q21" s="21">
        <f t="shared" si="12"/>
        <v>2.032E-3</v>
      </c>
      <c r="R21" s="21">
        <v>1.94149580791897E-10</v>
      </c>
      <c r="S21" s="2">
        <v>0.32</v>
      </c>
      <c r="T21" s="27">
        <f t="shared" si="13"/>
        <v>132000</v>
      </c>
      <c r="U21" s="2">
        <v>5.36358238306597E-3</v>
      </c>
      <c r="V21" s="11">
        <v>0.11</v>
      </c>
      <c r="W21" s="30">
        <f t="shared" si="14"/>
        <v>111000.00000000001</v>
      </c>
      <c r="X21" s="30">
        <f t="shared" si="1"/>
        <v>39.132445544554464</v>
      </c>
      <c r="Y21" s="11">
        <f t="shared" si="15"/>
        <v>475.34744184674997</v>
      </c>
      <c r="Z21" s="27">
        <f t="shared" si="16"/>
        <v>6.0576411223020888E-14</v>
      </c>
      <c r="AA21" s="27">
        <f t="shared" si="17"/>
        <v>36479114838.503181</v>
      </c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</row>
    <row r="22" spans="1:78" s="4" customFormat="1" x14ac:dyDescent="0.3">
      <c r="A22" s="26">
        <v>60</v>
      </c>
      <c r="B22" s="1">
        <f t="shared" si="2"/>
        <v>3600</v>
      </c>
      <c r="C22" s="26">
        <f t="shared" si="3"/>
        <v>1</v>
      </c>
      <c r="D22" s="26">
        <v>20</v>
      </c>
      <c r="E22" s="26">
        <f t="shared" si="0"/>
        <v>29.146000000000001</v>
      </c>
      <c r="F22" s="26">
        <f t="shared" si="4"/>
        <v>4.8576666666666667E-7</v>
      </c>
      <c r="G22" s="26">
        <v>21.1</v>
      </c>
      <c r="H22" s="26">
        <f t="shared" si="5"/>
        <v>294.10000000000002</v>
      </c>
      <c r="I22" s="26">
        <v>101.3</v>
      </c>
      <c r="J22" s="26">
        <f t="shared" si="6"/>
        <v>101300</v>
      </c>
      <c r="K22" s="26">
        <f t="shared" si="7"/>
        <v>2.0124824921938581E-5</v>
      </c>
      <c r="L22" s="28">
        <v>370.86138613861391</v>
      </c>
      <c r="M22" s="27">
        <f t="shared" si="8"/>
        <v>3.7086138613861392E-4</v>
      </c>
      <c r="N22" s="29">
        <f t="shared" si="9"/>
        <v>4.7762865441819992E-3</v>
      </c>
      <c r="O22" s="27">
        <f t="shared" si="10"/>
        <v>1.5626199134636065E-6</v>
      </c>
      <c r="P22" s="27">
        <f t="shared" si="11"/>
        <v>8986078641481863</v>
      </c>
      <c r="Q22" s="21">
        <f t="shared" si="12"/>
        <v>2.032E-3</v>
      </c>
      <c r="R22" s="21">
        <v>1.94149580791897E-10</v>
      </c>
      <c r="S22" s="2">
        <v>0.32</v>
      </c>
      <c r="T22" s="27">
        <f t="shared" si="13"/>
        <v>132000</v>
      </c>
      <c r="U22" s="2">
        <v>5.36358238306597E-3</v>
      </c>
      <c r="V22" s="11">
        <v>0.11</v>
      </c>
      <c r="W22" s="30">
        <f t="shared" si="14"/>
        <v>111000.00000000001</v>
      </c>
      <c r="X22" s="30">
        <f t="shared" si="1"/>
        <v>41.165613861386149</v>
      </c>
      <c r="Y22" s="11">
        <f t="shared" si="15"/>
        <v>518.50336067769183</v>
      </c>
      <c r="Z22" s="27">
        <f t="shared" si="16"/>
        <v>6.3744639766861941E-14</v>
      </c>
      <c r="AA22" s="27">
        <f t="shared" si="17"/>
        <v>38387022067.604263</v>
      </c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</row>
    <row r="23" spans="1:78" s="4" customFormat="1" x14ac:dyDescent="0.3">
      <c r="A23" s="26">
        <v>63</v>
      </c>
      <c r="B23" s="1">
        <f t="shared" si="2"/>
        <v>3780</v>
      </c>
      <c r="C23" s="26">
        <f t="shared" si="3"/>
        <v>1.05</v>
      </c>
      <c r="D23" s="26">
        <v>20</v>
      </c>
      <c r="E23" s="26">
        <f t="shared" si="0"/>
        <v>29.146000000000001</v>
      </c>
      <c r="F23" s="26">
        <f t="shared" si="4"/>
        <v>4.8576666666666667E-7</v>
      </c>
      <c r="G23" s="26">
        <v>21.1</v>
      </c>
      <c r="H23" s="26">
        <f t="shared" si="5"/>
        <v>294.10000000000002</v>
      </c>
      <c r="I23" s="26">
        <v>101.3</v>
      </c>
      <c r="J23" s="26">
        <f t="shared" si="6"/>
        <v>101300</v>
      </c>
      <c r="K23" s="26">
        <f t="shared" si="7"/>
        <v>2.0124824921938581E-5</v>
      </c>
      <c r="L23" s="28">
        <v>385.36633663366342</v>
      </c>
      <c r="M23" s="27">
        <f t="shared" si="8"/>
        <v>3.8536633663366343E-4</v>
      </c>
      <c r="N23" s="29">
        <f t="shared" si="9"/>
        <v>4.7762865441819992E-3</v>
      </c>
      <c r="O23" s="27">
        <f t="shared" si="10"/>
        <v>1.6237363449243267E-6</v>
      </c>
      <c r="P23" s="27">
        <f t="shared" si="11"/>
        <v>9337537786895832</v>
      </c>
      <c r="Q23" s="21">
        <f t="shared" si="12"/>
        <v>2.032E-3</v>
      </c>
      <c r="R23" s="21">
        <v>1.94149580791897E-10</v>
      </c>
      <c r="S23" s="2">
        <v>0.32</v>
      </c>
      <c r="T23" s="27">
        <f t="shared" si="13"/>
        <v>132000</v>
      </c>
      <c r="U23" s="2">
        <v>5.36358238306597E-3</v>
      </c>
      <c r="V23" s="11">
        <v>0.11</v>
      </c>
      <c r="W23" s="30">
        <f t="shared" si="14"/>
        <v>111000.00000000001</v>
      </c>
      <c r="X23" s="30">
        <f t="shared" si="1"/>
        <v>42.775663366336644</v>
      </c>
      <c r="Y23" s="11">
        <f t="shared" si="15"/>
        <v>553.87693634644381</v>
      </c>
      <c r="Z23" s="27">
        <f t="shared" si="16"/>
        <v>6.6255614478356601E-14</v>
      </c>
      <c r="AA23" s="27">
        <f t="shared" si="17"/>
        <v>39899131038.866348</v>
      </c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</row>
    <row r="24" spans="1:78" s="4" customFormat="1" x14ac:dyDescent="0.3">
      <c r="A24" s="26">
        <v>66</v>
      </c>
      <c r="B24" s="1">
        <f t="shared" si="2"/>
        <v>3960</v>
      </c>
      <c r="C24" s="26">
        <f t="shared" si="3"/>
        <v>1.1000000000000001</v>
      </c>
      <c r="D24" s="26">
        <v>20</v>
      </c>
      <c r="E24" s="26">
        <f t="shared" si="0"/>
        <v>29.146000000000001</v>
      </c>
      <c r="F24" s="26">
        <f t="shared" si="4"/>
        <v>4.8576666666666667E-7</v>
      </c>
      <c r="G24" s="26">
        <v>21.1</v>
      </c>
      <c r="H24" s="26">
        <f t="shared" si="5"/>
        <v>294.10000000000002</v>
      </c>
      <c r="I24" s="26">
        <v>101.3</v>
      </c>
      <c r="J24" s="26">
        <f t="shared" si="6"/>
        <v>101300</v>
      </c>
      <c r="K24" s="26">
        <f t="shared" si="7"/>
        <v>2.0124824921938581E-5</v>
      </c>
      <c r="L24" s="28">
        <v>381.15841584158414</v>
      </c>
      <c r="M24" s="27">
        <f t="shared" si="8"/>
        <v>3.8115841584158413E-4</v>
      </c>
      <c r="N24" s="29">
        <f t="shared" si="9"/>
        <v>4.7762865441819992E-3</v>
      </c>
      <c r="O24" s="27">
        <f t="shared" si="10"/>
        <v>1.6060063221456192E-6</v>
      </c>
      <c r="P24" s="27">
        <f t="shared" si="11"/>
        <v>9235578649147750</v>
      </c>
      <c r="Q24" s="21">
        <f t="shared" si="12"/>
        <v>2.032E-3</v>
      </c>
      <c r="R24" s="21">
        <v>1.94149580791897E-10</v>
      </c>
      <c r="S24" s="2">
        <v>0.32</v>
      </c>
      <c r="T24" s="27">
        <f t="shared" si="13"/>
        <v>132000</v>
      </c>
      <c r="U24" s="2">
        <v>5.36358238306597E-3</v>
      </c>
      <c r="V24" s="11">
        <v>0.11</v>
      </c>
      <c r="W24" s="30">
        <f t="shared" si="14"/>
        <v>111000.00000000001</v>
      </c>
      <c r="X24" s="30">
        <f t="shared" si="1"/>
        <v>42.308584158415847</v>
      </c>
      <c r="Y24" s="11">
        <f t="shared" si="15"/>
        <v>543.50619284291508</v>
      </c>
      <c r="Z24" s="27">
        <f t="shared" si="16"/>
        <v>6.552698133870227E-14</v>
      </c>
      <c r="AA24" s="27">
        <f t="shared" si="17"/>
        <v>39460348162.166512</v>
      </c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</row>
    <row r="25" spans="1:78" s="4" customFormat="1" x14ac:dyDescent="0.3">
      <c r="A25" s="26">
        <v>69</v>
      </c>
      <c r="B25" s="1">
        <f t="shared" si="2"/>
        <v>4140</v>
      </c>
      <c r="C25" s="26">
        <f t="shared" si="3"/>
        <v>1.1499999999999999</v>
      </c>
      <c r="D25" s="26">
        <v>20</v>
      </c>
      <c r="E25" s="26">
        <f t="shared" si="0"/>
        <v>29.146000000000001</v>
      </c>
      <c r="F25" s="26">
        <f t="shared" si="4"/>
        <v>4.8576666666666667E-7</v>
      </c>
      <c r="G25" s="26">
        <v>21.1</v>
      </c>
      <c r="H25" s="26">
        <f t="shared" si="5"/>
        <v>294.10000000000002</v>
      </c>
      <c r="I25" s="26">
        <v>101.3</v>
      </c>
      <c r="J25" s="26">
        <f t="shared" si="6"/>
        <v>101300</v>
      </c>
      <c r="K25" s="26">
        <f t="shared" si="7"/>
        <v>2.0124824921938581E-5</v>
      </c>
      <c r="L25" s="28">
        <v>399.15346534653469</v>
      </c>
      <c r="M25" s="27">
        <f t="shared" si="8"/>
        <v>3.9915346534653471E-4</v>
      </c>
      <c r="N25" s="29">
        <f t="shared" si="9"/>
        <v>4.7762865441819992E-3</v>
      </c>
      <c r="O25" s="27">
        <f t="shared" si="10"/>
        <v>1.6818282430875023E-6</v>
      </c>
      <c r="P25" s="27">
        <f t="shared" si="11"/>
        <v>9671603902929242</v>
      </c>
      <c r="Q25" s="21">
        <f t="shared" si="12"/>
        <v>2.032E-3</v>
      </c>
      <c r="R25" s="21">
        <v>1.94149580791897E-10</v>
      </c>
      <c r="S25" s="2">
        <v>0.32</v>
      </c>
      <c r="T25" s="27">
        <f t="shared" si="13"/>
        <v>132000</v>
      </c>
      <c r="U25" s="2">
        <v>5.36358238306597E-3</v>
      </c>
      <c r="V25" s="11">
        <v>0.11</v>
      </c>
      <c r="W25" s="30">
        <f t="shared" si="14"/>
        <v>111000.00000000001</v>
      </c>
      <c r="X25" s="30">
        <f t="shared" si="1"/>
        <v>44.30603465346536</v>
      </c>
      <c r="Y25" s="11">
        <f t="shared" si="15"/>
        <v>588.47755514164805</v>
      </c>
      <c r="Z25" s="27">
        <f t="shared" si="16"/>
        <v>6.8644089712544558E-14</v>
      </c>
      <c r="AA25" s="27">
        <f t="shared" si="17"/>
        <v>41337470824.894333</v>
      </c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</row>
    <row r="26" spans="1:78" s="4" customFormat="1" x14ac:dyDescent="0.3">
      <c r="A26" s="26">
        <v>72</v>
      </c>
      <c r="B26" s="1">
        <f t="shared" si="2"/>
        <v>4320</v>
      </c>
      <c r="C26" s="26">
        <f t="shared" si="3"/>
        <v>1.2</v>
      </c>
      <c r="D26" s="26">
        <v>20</v>
      </c>
      <c r="E26" s="26">
        <f t="shared" si="0"/>
        <v>29.146000000000001</v>
      </c>
      <c r="F26" s="26">
        <f t="shared" si="4"/>
        <v>4.8576666666666667E-7</v>
      </c>
      <c r="G26" s="26">
        <v>21.1</v>
      </c>
      <c r="H26" s="26">
        <f t="shared" si="5"/>
        <v>294.10000000000002</v>
      </c>
      <c r="I26" s="26">
        <v>101.3</v>
      </c>
      <c r="J26" s="26">
        <f t="shared" si="6"/>
        <v>101300</v>
      </c>
      <c r="K26" s="26">
        <f t="shared" si="7"/>
        <v>2.0124824921938581E-5</v>
      </c>
      <c r="L26" s="28">
        <v>400.34158415841586</v>
      </c>
      <c r="M26" s="27">
        <f t="shared" si="8"/>
        <v>4.0034158415841583E-4</v>
      </c>
      <c r="N26" s="29">
        <f t="shared" si="9"/>
        <v>4.7762865441819992E-3</v>
      </c>
      <c r="O26" s="27">
        <f t="shared" si="10"/>
        <v>1.6868343671661958E-6</v>
      </c>
      <c r="P26" s="27">
        <f t="shared" si="11"/>
        <v>9700392365352228</v>
      </c>
      <c r="Q26" s="21">
        <f t="shared" si="12"/>
        <v>2.032E-3</v>
      </c>
      <c r="R26" s="21">
        <v>1.94149580791897E-10</v>
      </c>
      <c r="S26" s="2">
        <v>0.32</v>
      </c>
      <c r="T26" s="27">
        <f t="shared" si="13"/>
        <v>132000</v>
      </c>
      <c r="U26" s="2">
        <v>5.36358238306597E-3</v>
      </c>
      <c r="V26" s="11">
        <v>0.11</v>
      </c>
      <c r="W26" s="30">
        <f t="shared" si="14"/>
        <v>111000.00000000001</v>
      </c>
      <c r="X26" s="30">
        <f t="shared" si="1"/>
        <v>44.437915841584164</v>
      </c>
      <c r="Y26" s="11">
        <f t="shared" si="15"/>
        <v>591.50376295842148</v>
      </c>
      <c r="Z26" s="27">
        <f t="shared" si="16"/>
        <v>6.8850000981386541E-14</v>
      </c>
      <c r="AA26" s="27">
        <f t="shared" si="17"/>
        <v>41461470590.990974</v>
      </c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</row>
    <row r="27" spans="1:78" s="4" customFormat="1" x14ac:dyDescent="0.3">
      <c r="A27" s="26">
        <v>75</v>
      </c>
      <c r="B27" s="1">
        <f t="shared" si="2"/>
        <v>4500</v>
      </c>
      <c r="C27" s="26">
        <f t="shared" si="3"/>
        <v>1.25</v>
      </c>
      <c r="D27" s="26">
        <v>20</v>
      </c>
      <c r="E27" s="26">
        <f t="shared" si="0"/>
        <v>29.146000000000001</v>
      </c>
      <c r="F27" s="26">
        <f t="shared" si="4"/>
        <v>4.8576666666666667E-7</v>
      </c>
      <c r="G27" s="26">
        <v>21.1</v>
      </c>
      <c r="H27" s="26">
        <f t="shared" si="5"/>
        <v>294.10000000000002</v>
      </c>
      <c r="I27" s="26">
        <v>101.3</v>
      </c>
      <c r="J27" s="26">
        <f t="shared" si="6"/>
        <v>101300</v>
      </c>
      <c r="K27" s="26">
        <f t="shared" si="7"/>
        <v>2.0124824921938581E-5</v>
      </c>
      <c r="L27" s="28">
        <v>405.19306930693074</v>
      </c>
      <c r="M27" s="27">
        <f t="shared" si="8"/>
        <v>4.0519306930693073E-4</v>
      </c>
      <c r="N27" s="29">
        <f t="shared" si="9"/>
        <v>4.7762865441819992E-3</v>
      </c>
      <c r="O27" s="27">
        <f t="shared" si="10"/>
        <v>1.7072760404875289E-6</v>
      </c>
      <c r="P27" s="27">
        <f t="shared" si="11"/>
        <v>9817945253579426</v>
      </c>
      <c r="Q27" s="21">
        <f t="shared" si="12"/>
        <v>2.032E-3</v>
      </c>
      <c r="R27" s="21">
        <v>1.94149580791897E-10</v>
      </c>
      <c r="S27" s="2">
        <v>0.32</v>
      </c>
      <c r="T27" s="27">
        <f t="shared" si="13"/>
        <v>132000</v>
      </c>
      <c r="U27" s="2">
        <v>5.36358238306597E-3</v>
      </c>
      <c r="V27" s="11">
        <v>0.11</v>
      </c>
      <c r="W27" s="30">
        <f t="shared" si="14"/>
        <v>111000.00000000001</v>
      </c>
      <c r="X27" s="30">
        <f t="shared" si="1"/>
        <v>44.976430693069318</v>
      </c>
      <c r="Y27" s="11">
        <f t="shared" si="15"/>
        <v>603.93387305147644</v>
      </c>
      <c r="Z27" s="27">
        <f t="shared" si="16"/>
        <v>6.9690942535086042E-14</v>
      </c>
      <c r="AA27" s="27">
        <f t="shared" si="17"/>
        <v>41967885594.628815</v>
      </c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</row>
    <row r="28" spans="1:78" s="4" customFormat="1" x14ac:dyDescent="0.3">
      <c r="A28" s="26">
        <v>78</v>
      </c>
      <c r="B28" s="1">
        <f t="shared" si="2"/>
        <v>4680</v>
      </c>
      <c r="C28" s="26">
        <f t="shared" si="3"/>
        <v>1.3</v>
      </c>
      <c r="D28" s="26">
        <v>20</v>
      </c>
      <c r="E28" s="26">
        <f t="shared" si="0"/>
        <v>29.146000000000001</v>
      </c>
      <c r="F28" s="26">
        <f t="shared" si="4"/>
        <v>4.8576666666666667E-7</v>
      </c>
      <c r="G28" s="26">
        <v>21.1</v>
      </c>
      <c r="H28" s="26">
        <f t="shared" si="5"/>
        <v>294.10000000000002</v>
      </c>
      <c r="I28" s="26">
        <v>101.3</v>
      </c>
      <c r="J28" s="26">
        <f t="shared" si="6"/>
        <v>101300</v>
      </c>
      <c r="K28" s="26">
        <f t="shared" si="7"/>
        <v>2.0124824921938581E-5</v>
      </c>
      <c r="L28" s="28">
        <v>405.66336633663366</v>
      </c>
      <c r="M28" s="27">
        <f t="shared" si="8"/>
        <v>4.0566336633663367E-4</v>
      </c>
      <c r="N28" s="29">
        <f t="shared" si="9"/>
        <v>4.7762865441819992E-3</v>
      </c>
      <c r="O28" s="27">
        <f t="shared" si="10"/>
        <v>1.7092576312686785E-6</v>
      </c>
      <c r="P28" s="27">
        <f t="shared" si="11"/>
        <v>9829340686621858</v>
      </c>
      <c r="Q28" s="21">
        <f t="shared" si="12"/>
        <v>2.032E-3</v>
      </c>
      <c r="R28" s="21">
        <v>1.94149580791897E-10</v>
      </c>
      <c r="S28" s="2">
        <v>0.32</v>
      </c>
      <c r="T28" s="27">
        <f t="shared" si="13"/>
        <v>132000</v>
      </c>
      <c r="U28" s="2">
        <v>5.36358238306597E-3</v>
      </c>
      <c r="V28" s="11">
        <v>0.11</v>
      </c>
      <c r="W28" s="30">
        <f t="shared" si="14"/>
        <v>111000.00000000001</v>
      </c>
      <c r="X28" s="30">
        <f t="shared" si="1"/>
        <v>45.028633663366342</v>
      </c>
      <c r="Y28" s="11">
        <f t="shared" si="15"/>
        <v>605.14507256755871</v>
      </c>
      <c r="Z28" s="27">
        <f t="shared" si="16"/>
        <v>6.9772474152484666E-14</v>
      </c>
      <c r="AA28" s="27">
        <f t="shared" si="17"/>
        <v>42016983934.626266</v>
      </c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</row>
    <row r="29" spans="1:78" s="4" customFormat="1" x14ac:dyDescent="0.3">
      <c r="A29" s="26">
        <v>81</v>
      </c>
      <c r="B29" s="1">
        <f t="shared" si="2"/>
        <v>4860</v>
      </c>
      <c r="C29" s="26">
        <f t="shared" si="3"/>
        <v>1.35</v>
      </c>
      <c r="D29" s="26">
        <v>20</v>
      </c>
      <c r="E29" s="26">
        <f t="shared" si="0"/>
        <v>29.146000000000001</v>
      </c>
      <c r="F29" s="26">
        <f t="shared" si="4"/>
        <v>4.8576666666666667E-7</v>
      </c>
      <c r="G29" s="26">
        <v>21.1</v>
      </c>
      <c r="H29" s="26">
        <f t="shared" si="5"/>
        <v>294.10000000000002</v>
      </c>
      <c r="I29" s="26">
        <v>101.3</v>
      </c>
      <c r="J29" s="26">
        <f t="shared" si="6"/>
        <v>101300</v>
      </c>
      <c r="K29" s="26">
        <f t="shared" si="7"/>
        <v>2.0124824921938581E-5</v>
      </c>
      <c r="L29" s="28">
        <v>418.93069306930698</v>
      </c>
      <c r="M29" s="27">
        <f t="shared" si="8"/>
        <v>4.18930693069307E-4</v>
      </c>
      <c r="N29" s="29">
        <f t="shared" si="9"/>
        <v>4.7762865441819992E-3</v>
      </c>
      <c r="O29" s="27">
        <f t="shared" si="10"/>
        <v>1.7651593501474259E-6</v>
      </c>
      <c r="P29" s="27">
        <f t="shared" si="11"/>
        <v>1.0150811850345214E+16</v>
      </c>
      <c r="Q29" s="21">
        <f t="shared" si="12"/>
        <v>2.032E-3</v>
      </c>
      <c r="R29" s="21">
        <v>1.94149580791897E-10</v>
      </c>
      <c r="S29" s="2">
        <v>0.32</v>
      </c>
      <c r="T29" s="27">
        <f t="shared" si="13"/>
        <v>132000</v>
      </c>
      <c r="U29" s="2">
        <v>5.36358238306597E-3</v>
      </c>
      <c r="V29" s="11">
        <v>0.11</v>
      </c>
      <c r="W29" s="30">
        <f t="shared" si="14"/>
        <v>111000.00000000001</v>
      </c>
      <c r="X29" s="30">
        <f t="shared" si="1"/>
        <v>46.501306930693083</v>
      </c>
      <c r="Y29" s="11">
        <f t="shared" si="15"/>
        <v>639.76729462358162</v>
      </c>
      <c r="Z29" s="27">
        <f t="shared" si="16"/>
        <v>7.2073392371262224E-14</v>
      </c>
      <c r="AA29" s="27">
        <f t="shared" si="17"/>
        <v>43402596885.974113</v>
      </c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</row>
    <row r="30" spans="1:78" s="4" customFormat="1" x14ac:dyDescent="0.3">
      <c r="A30" s="26">
        <v>84</v>
      </c>
      <c r="B30" s="1">
        <f t="shared" si="2"/>
        <v>5040</v>
      </c>
      <c r="C30" s="26">
        <f t="shared" si="3"/>
        <v>1.4</v>
      </c>
      <c r="D30" s="26">
        <v>20</v>
      </c>
      <c r="E30" s="26">
        <f t="shared" si="0"/>
        <v>29.146000000000001</v>
      </c>
      <c r="F30" s="26">
        <f t="shared" si="4"/>
        <v>4.8576666666666667E-7</v>
      </c>
      <c r="G30" s="26">
        <v>21.1</v>
      </c>
      <c r="H30" s="26">
        <f t="shared" si="5"/>
        <v>294.10000000000002</v>
      </c>
      <c r="I30" s="26">
        <v>101.3</v>
      </c>
      <c r="J30" s="26">
        <f t="shared" si="6"/>
        <v>101300</v>
      </c>
      <c r="K30" s="26">
        <f t="shared" si="7"/>
        <v>2.0124824921938581E-5</v>
      </c>
      <c r="L30" s="28">
        <v>406.6782178217822</v>
      </c>
      <c r="M30" s="27">
        <f t="shared" si="8"/>
        <v>4.066782178217822E-4</v>
      </c>
      <c r="N30" s="29">
        <f t="shared" si="9"/>
        <v>4.7762865441819992E-3</v>
      </c>
      <c r="O30" s="27">
        <f t="shared" si="10"/>
        <v>1.7135336955858962E-6</v>
      </c>
      <c r="P30" s="27">
        <f t="shared" si="11"/>
        <v>9853930831608160</v>
      </c>
      <c r="Q30" s="21">
        <f t="shared" si="12"/>
        <v>2.032E-3</v>
      </c>
      <c r="R30" s="21">
        <v>1.94149580791897E-10</v>
      </c>
      <c r="S30" s="2">
        <v>0.32</v>
      </c>
      <c r="T30" s="27">
        <f t="shared" si="13"/>
        <v>132000</v>
      </c>
      <c r="U30" s="2">
        <v>5.36358238306597E-3</v>
      </c>
      <c r="V30" s="11">
        <v>0.11</v>
      </c>
      <c r="W30" s="30">
        <f t="shared" si="14"/>
        <v>111000.00000000001</v>
      </c>
      <c r="X30" s="30">
        <f t="shared" si="1"/>
        <v>45.141282178217828</v>
      </c>
      <c r="Y30" s="11">
        <f t="shared" si="15"/>
        <v>607.76246913835917</v>
      </c>
      <c r="Z30" s="27">
        <f t="shared" si="16"/>
        <v>6.9948417921383803E-14</v>
      </c>
      <c r="AA30" s="27">
        <f t="shared" si="17"/>
        <v>42122937272.257324</v>
      </c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</row>
    <row r="31" spans="1:78" s="4" customFormat="1" x14ac:dyDescent="0.3">
      <c r="A31" s="26">
        <v>87</v>
      </c>
      <c r="B31" s="1">
        <f t="shared" si="2"/>
        <v>5220</v>
      </c>
      <c r="C31" s="26">
        <f t="shared" si="3"/>
        <v>1.45</v>
      </c>
      <c r="D31" s="26">
        <v>20</v>
      </c>
      <c r="E31" s="26">
        <f t="shared" si="0"/>
        <v>29.146000000000001</v>
      </c>
      <c r="F31" s="26">
        <f t="shared" si="4"/>
        <v>4.8576666666666667E-7</v>
      </c>
      <c r="G31" s="26">
        <v>21.1</v>
      </c>
      <c r="H31" s="26">
        <f t="shared" si="5"/>
        <v>294.10000000000002</v>
      </c>
      <c r="I31" s="26">
        <v>101.3</v>
      </c>
      <c r="J31" s="26">
        <f t="shared" si="6"/>
        <v>101300</v>
      </c>
      <c r="K31" s="26">
        <f t="shared" si="7"/>
        <v>2.0124824921938581E-5</v>
      </c>
      <c r="L31" s="28">
        <v>412.81683168316835</v>
      </c>
      <c r="M31" s="27">
        <f t="shared" si="8"/>
        <v>4.1281683168316834E-4</v>
      </c>
      <c r="N31" s="29">
        <f t="shared" si="9"/>
        <v>4.7762865441819992E-3</v>
      </c>
      <c r="O31" s="27">
        <f t="shared" si="10"/>
        <v>1.7393986699924807E-6</v>
      </c>
      <c r="P31" s="27">
        <f t="shared" si="11"/>
        <v>1.0002671220793592E+16</v>
      </c>
      <c r="Q31" s="21">
        <f t="shared" si="12"/>
        <v>2.032E-3</v>
      </c>
      <c r="R31" s="21">
        <v>1.94149580791897E-10</v>
      </c>
      <c r="S31" s="2">
        <v>0.32</v>
      </c>
      <c r="T31" s="27">
        <f t="shared" si="13"/>
        <v>132000</v>
      </c>
      <c r="U31" s="2">
        <v>5.36358238306597E-3</v>
      </c>
      <c r="V31" s="11">
        <v>0.11</v>
      </c>
      <c r="W31" s="30">
        <f t="shared" si="14"/>
        <v>111000.00000000001</v>
      </c>
      <c r="X31" s="30">
        <f t="shared" si="1"/>
        <v>45.822668316831688</v>
      </c>
      <c r="Y31" s="11">
        <f t="shared" si="15"/>
        <v>623.7038683499519</v>
      </c>
      <c r="Z31" s="27">
        <f t="shared" si="16"/>
        <v>7.1012871714325085E-14</v>
      </c>
      <c r="AA31" s="27">
        <f t="shared" si="17"/>
        <v>42763951346.36657</v>
      </c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</row>
    <row r="32" spans="1:78" s="4" customFormat="1" x14ac:dyDescent="0.3">
      <c r="A32" s="26">
        <v>90</v>
      </c>
      <c r="B32" s="1">
        <f t="shared" si="2"/>
        <v>5400</v>
      </c>
      <c r="C32" s="26">
        <f t="shared" si="3"/>
        <v>1.5</v>
      </c>
      <c r="D32" s="26">
        <v>20</v>
      </c>
      <c r="E32" s="26">
        <f t="shared" si="0"/>
        <v>29.146000000000001</v>
      </c>
      <c r="F32" s="26">
        <f t="shared" si="4"/>
        <v>4.8576666666666667E-7</v>
      </c>
      <c r="G32" s="26">
        <v>21.1</v>
      </c>
      <c r="H32" s="26">
        <f t="shared" si="5"/>
        <v>294.10000000000002</v>
      </c>
      <c r="I32" s="26">
        <v>101.3</v>
      </c>
      <c r="J32" s="26">
        <f t="shared" si="6"/>
        <v>101300</v>
      </c>
      <c r="K32" s="26">
        <f t="shared" si="7"/>
        <v>2.0124824921938581E-5</v>
      </c>
      <c r="L32" s="28">
        <v>417.61881188118815</v>
      </c>
      <c r="M32" s="27">
        <f t="shared" si="8"/>
        <v>4.1761881188118817E-4</v>
      </c>
      <c r="N32" s="29">
        <f t="shared" si="9"/>
        <v>4.7762865441819992E-3</v>
      </c>
      <c r="O32" s="27">
        <f t="shared" si="10"/>
        <v>1.7596317548105346E-6</v>
      </c>
      <c r="P32" s="27">
        <f t="shared" si="11"/>
        <v>1.0119024589753164E+16</v>
      </c>
      <c r="Q32" s="21">
        <f t="shared" si="12"/>
        <v>2.032E-3</v>
      </c>
      <c r="R32" s="21">
        <v>1.94149580791897E-10</v>
      </c>
      <c r="S32" s="2">
        <v>0.32</v>
      </c>
      <c r="T32" s="27">
        <f t="shared" si="13"/>
        <v>132000</v>
      </c>
      <c r="U32" s="2">
        <v>5.36358238306597E-3</v>
      </c>
      <c r="V32" s="11">
        <v>0.11</v>
      </c>
      <c r="W32" s="30">
        <f t="shared" si="14"/>
        <v>111000.00000000001</v>
      </c>
      <c r="X32" s="30">
        <f t="shared" si="1"/>
        <v>46.355688118811891</v>
      </c>
      <c r="Y32" s="11">
        <f t="shared" si="15"/>
        <v>636.30483391459427</v>
      </c>
      <c r="Z32" s="27">
        <f t="shared" si="16"/>
        <v>7.1845800842102545E-14</v>
      </c>
      <c r="AA32" s="27">
        <f t="shared" si="17"/>
        <v>43265541267.114151</v>
      </c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</row>
    <row r="33" spans="1:78" s="4" customFormat="1" x14ac:dyDescent="0.3">
      <c r="A33" s="26">
        <v>93</v>
      </c>
      <c r="B33" s="1">
        <f t="shared" si="2"/>
        <v>5580</v>
      </c>
      <c r="C33" s="26">
        <f t="shared" si="3"/>
        <v>1.55</v>
      </c>
      <c r="D33" s="26">
        <v>20</v>
      </c>
      <c r="E33" s="26">
        <f t="shared" si="0"/>
        <v>29.146000000000001</v>
      </c>
      <c r="F33" s="26">
        <f t="shared" si="4"/>
        <v>4.8576666666666667E-7</v>
      </c>
      <c r="G33" s="26">
        <v>21.1</v>
      </c>
      <c r="H33" s="26">
        <f t="shared" si="5"/>
        <v>294.10000000000002</v>
      </c>
      <c r="I33" s="26">
        <v>101.3</v>
      </c>
      <c r="J33" s="26">
        <f t="shared" si="6"/>
        <v>101300</v>
      </c>
      <c r="K33" s="26">
        <f t="shared" si="7"/>
        <v>2.0124824921938581E-5</v>
      </c>
      <c r="L33" s="28">
        <v>409.42574257425747</v>
      </c>
      <c r="M33" s="27">
        <f t="shared" si="8"/>
        <v>4.0942574257425745E-4</v>
      </c>
      <c r="N33" s="29">
        <f t="shared" si="9"/>
        <v>4.7762865441819992E-3</v>
      </c>
      <c r="O33" s="27">
        <f t="shared" si="10"/>
        <v>1.7251103575178753E-6</v>
      </c>
      <c r="P33" s="27">
        <f t="shared" si="11"/>
        <v>9920504150961316</v>
      </c>
      <c r="Q33" s="21">
        <f t="shared" si="12"/>
        <v>2.032E-3</v>
      </c>
      <c r="R33" s="21">
        <v>1.94149580791897E-10</v>
      </c>
      <c r="S33" s="2">
        <v>0.32</v>
      </c>
      <c r="T33" s="27">
        <f t="shared" si="13"/>
        <v>132000</v>
      </c>
      <c r="U33" s="2">
        <v>5.36358238306597E-3</v>
      </c>
      <c r="V33" s="11">
        <v>0.11</v>
      </c>
      <c r="W33" s="30">
        <f t="shared" si="14"/>
        <v>111000.00000000001</v>
      </c>
      <c r="X33" s="30">
        <f t="shared" si="1"/>
        <v>45.44625742574258</v>
      </c>
      <c r="Y33" s="11">
        <f t="shared" si="15"/>
        <v>614.87433906702745</v>
      </c>
      <c r="Z33" s="27">
        <f t="shared" si="16"/>
        <v>7.0424802471980287E-14</v>
      </c>
      <c r="AA33" s="27">
        <f t="shared" si="17"/>
        <v>42409816048.626534</v>
      </c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</row>
    <row r="34" spans="1:78" s="4" customFormat="1" x14ac:dyDescent="0.3">
      <c r="A34" s="26">
        <v>96</v>
      </c>
      <c r="B34" s="1">
        <f t="shared" si="2"/>
        <v>5760</v>
      </c>
      <c r="C34" s="26">
        <f t="shared" si="3"/>
        <v>1.6</v>
      </c>
      <c r="D34" s="26">
        <v>20</v>
      </c>
      <c r="E34" s="26">
        <f t="shared" si="0"/>
        <v>29.146000000000001</v>
      </c>
      <c r="F34" s="26">
        <f t="shared" si="4"/>
        <v>4.8576666666666667E-7</v>
      </c>
      <c r="G34" s="26">
        <v>21.1</v>
      </c>
      <c r="H34" s="26">
        <f t="shared" si="5"/>
        <v>294.10000000000002</v>
      </c>
      <c r="I34" s="26">
        <v>101.3</v>
      </c>
      <c r="J34" s="26">
        <f t="shared" si="6"/>
        <v>101300</v>
      </c>
      <c r="K34" s="26">
        <f t="shared" si="7"/>
        <v>2.0124824921938581E-5</v>
      </c>
      <c r="L34" s="28">
        <v>412.94059405940595</v>
      </c>
      <c r="M34" s="27">
        <f t="shared" si="8"/>
        <v>4.1294059405940593E-4</v>
      </c>
      <c r="N34" s="29">
        <f t="shared" si="9"/>
        <v>4.7762865441819992E-3</v>
      </c>
      <c r="O34" s="27">
        <f t="shared" si="10"/>
        <v>1.7399201412506779E-6</v>
      </c>
      <c r="P34" s="27">
        <f t="shared" si="11"/>
        <v>1.0005670018962654E+16</v>
      </c>
      <c r="Q34" s="21">
        <f t="shared" si="12"/>
        <v>2.032E-3</v>
      </c>
      <c r="R34" s="21">
        <v>1.94149580791897E-10</v>
      </c>
      <c r="S34" s="2">
        <v>0.32</v>
      </c>
      <c r="T34" s="27">
        <f t="shared" si="13"/>
        <v>132000</v>
      </c>
      <c r="U34" s="2">
        <v>5.36358238306597E-3</v>
      </c>
      <c r="V34" s="11">
        <v>0.11</v>
      </c>
      <c r="W34" s="30">
        <f t="shared" si="14"/>
        <v>111000.00000000001</v>
      </c>
      <c r="X34" s="30">
        <f t="shared" si="1"/>
        <v>45.836405940594062</v>
      </c>
      <c r="Y34" s="11">
        <f t="shared" si="15"/>
        <v>624.02719614582873</v>
      </c>
      <c r="Z34" s="27">
        <f t="shared" si="16"/>
        <v>7.1034336175663398E-14</v>
      </c>
      <c r="AA34" s="27">
        <f t="shared" si="17"/>
        <v>42776877244.984497</v>
      </c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</row>
    <row r="35" spans="1:78" s="4" customFormat="1" x14ac:dyDescent="0.3">
      <c r="A35" s="26">
        <v>99</v>
      </c>
      <c r="B35" s="1">
        <f t="shared" si="2"/>
        <v>5940</v>
      </c>
      <c r="C35" s="26">
        <f t="shared" si="3"/>
        <v>1.65</v>
      </c>
      <c r="D35" s="26">
        <v>20</v>
      </c>
      <c r="E35" s="26">
        <f t="shared" si="0"/>
        <v>29.146000000000001</v>
      </c>
      <c r="F35" s="26">
        <f t="shared" si="4"/>
        <v>4.8576666666666667E-7</v>
      </c>
      <c r="G35" s="26">
        <v>21.1</v>
      </c>
      <c r="H35" s="26">
        <f t="shared" si="5"/>
        <v>294.10000000000002</v>
      </c>
      <c r="I35" s="26">
        <v>101.3</v>
      </c>
      <c r="J35" s="26">
        <f t="shared" si="6"/>
        <v>101300</v>
      </c>
      <c r="K35" s="26">
        <f t="shared" si="7"/>
        <v>2.0124824921938581E-5</v>
      </c>
      <c r="L35" s="28">
        <v>413.36138613861385</v>
      </c>
      <c r="M35" s="27">
        <f t="shared" si="8"/>
        <v>4.1336138613861387E-4</v>
      </c>
      <c r="N35" s="29">
        <f t="shared" si="9"/>
        <v>4.7762865441819992E-3</v>
      </c>
      <c r="O35" s="27">
        <f t="shared" si="10"/>
        <v>1.7416931435285483E-6</v>
      </c>
      <c r="P35" s="27">
        <f t="shared" si="11"/>
        <v>1.001586593273746E+16</v>
      </c>
      <c r="Q35" s="21">
        <f t="shared" si="12"/>
        <v>2.032E-3</v>
      </c>
      <c r="R35" s="21">
        <v>1.94149580791897E-10</v>
      </c>
      <c r="S35" s="2">
        <v>0.32</v>
      </c>
      <c r="T35" s="27">
        <f t="shared" si="13"/>
        <v>132000</v>
      </c>
      <c r="U35" s="2">
        <v>5.36358238306597E-3</v>
      </c>
      <c r="V35" s="11">
        <v>0.11</v>
      </c>
      <c r="W35" s="30">
        <f t="shared" si="14"/>
        <v>111000.00000000001</v>
      </c>
      <c r="X35" s="30">
        <f t="shared" si="1"/>
        <v>45.883113861386143</v>
      </c>
      <c r="Y35" s="11">
        <f t="shared" si="15"/>
        <v>625.12708051498441</v>
      </c>
      <c r="Z35" s="27">
        <f t="shared" si="16"/>
        <v>7.1107316442937437E-14</v>
      </c>
      <c r="AA35" s="27">
        <f t="shared" si="17"/>
        <v>42820825961.936928</v>
      </c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</row>
    <row r="36" spans="1:78" s="4" customFormat="1" x14ac:dyDescent="0.3">
      <c r="A36" s="26">
        <v>102</v>
      </c>
      <c r="B36" s="1">
        <f t="shared" si="2"/>
        <v>6120</v>
      </c>
      <c r="C36" s="26">
        <f t="shared" si="3"/>
        <v>1.7</v>
      </c>
      <c r="D36" s="26">
        <v>20</v>
      </c>
      <c r="E36" s="26">
        <f t="shared" si="0"/>
        <v>29.146000000000001</v>
      </c>
      <c r="F36" s="26">
        <f t="shared" si="4"/>
        <v>4.8576666666666667E-7</v>
      </c>
      <c r="G36" s="26">
        <v>21.1</v>
      </c>
      <c r="H36" s="26">
        <f t="shared" si="5"/>
        <v>294.10000000000002</v>
      </c>
      <c r="I36" s="26">
        <v>101.3</v>
      </c>
      <c r="J36" s="26">
        <f t="shared" si="6"/>
        <v>101300</v>
      </c>
      <c r="K36" s="26">
        <f t="shared" si="7"/>
        <v>2.0124824921938581E-5</v>
      </c>
      <c r="L36" s="28">
        <v>410.39108910891088</v>
      </c>
      <c r="M36" s="27">
        <f t="shared" si="8"/>
        <v>4.1039108910891086E-4</v>
      </c>
      <c r="N36" s="29">
        <f t="shared" si="9"/>
        <v>4.7762865441819992E-3</v>
      </c>
      <c r="O36" s="27">
        <f t="shared" si="10"/>
        <v>1.7291778333318138E-6</v>
      </c>
      <c r="P36" s="27">
        <f t="shared" si="11"/>
        <v>9943894776679992</v>
      </c>
      <c r="Q36" s="21">
        <f t="shared" si="12"/>
        <v>2.032E-3</v>
      </c>
      <c r="R36" s="21">
        <v>1.94149580791897E-10</v>
      </c>
      <c r="S36" s="2">
        <v>0.32</v>
      </c>
      <c r="T36" s="27">
        <f t="shared" si="13"/>
        <v>132000</v>
      </c>
      <c r="U36" s="2">
        <v>5.36358238306597E-3</v>
      </c>
      <c r="V36" s="11">
        <v>0.11</v>
      </c>
      <c r="W36" s="30">
        <f t="shared" si="14"/>
        <v>111000.00000000001</v>
      </c>
      <c r="X36" s="30">
        <f t="shared" si="1"/>
        <v>45.553410891089115</v>
      </c>
      <c r="Y36" s="11">
        <f t="shared" si="15"/>
        <v>617.38202779033736</v>
      </c>
      <c r="Z36" s="27">
        <f t="shared" si="16"/>
        <v>7.059219786599534E-14</v>
      </c>
      <c r="AA36" s="27">
        <f t="shared" si="17"/>
        <v>42510621554.902397</v>
      </c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</row>
    <row r="37" spans="1:78" s="4" customFormat="1" x14ac:dyDescent="0.3">
      <c r="A37" s="26">
        <v>105</v>
      </c>
      <c r="B37" s="1">
        <f t="shared" si="2"/>
        <v>6300</v>
      </c>
      <c r="C37" s="26">
        <f t="shared" si="3"/>
        <v>1.75</v>
      </c>
      <c r="D37" s="26">
        <v>20</v>
      </c>
      <c r="E37" s="26">
        <f t="shared" si="0"/>
        <v>29.146000000000001</v>
      </c>
      <c r="F37" s="26">
        <f t="shared" si="4"/>
        <v>4.8576666666666667E-7</v>
      </c>
      <c r="G37" s="26">
        <v>21.1</v>
      </c>
      <c r="H37" s="26">
        <f t="shared" si="5"/>
        <v>294.10000000000002</v>
      </c>
      <c r="I37" s="26">
        <v>101.3</v>
      </c>
      <c r="J37" s="26">
        <f t="shared" si="6"/>
        <v>101300</v>
      </c>
      <c r="K37" s="26">
        <f t="shared" si="7"/>
        <v>2.0124824921938581E-5</v>
      </c>
      <c r="L37" s="28">
        <v>406.60396039603961</v>
      </c>
      <c r="M37" s="27">
        <f t="shared" si="8"/>
        <v>4.0660396039603962E-4</v>
      </c>
      <c r="N37" s="29">
        <f t="shared" si="9"/>
        <v>4.7762865441819992E-3</v>
      </c>
      <c r="O37" s="27">
        <f t="shared" si="10"/>
        <v>1.7132208128309777E-6</v>
      </c>
      <c r="P37" s="27">
        <f t="shared" si="11"/>
        <v>9852131552706722</v>
      </c>
      <c r="Q37" s="21">
        <f t="shared" si="12"/>
        <v>2.032E-3</v>
      </c>
      <c r="R37" s="21">
        <v>1.94149580791897E-10</v>
      </c>
      <c r="S37" s="2">
        <v>0.32</v>
      </c>
      <c r="T37" s="27">
        <f t="shared" si="13"/>
        <v>132000</v>
      </c>
      <c r="U37" s="2">
        <v>5.36358238306597E-3</v>
      </c>
      <c r="V37" s="11">
        <v>0.11</v>
      </c>
      <c r="W37" s="30">
        <f t="shared" si="14"/>
        <v>111000.00000000001</v>
      </c>
      <c r="X37" s="30">
        <f t="shared" si="1"/>
        <v>45.133039603960405</v>
      </c>
      <c r="Y37" s="11">
        <f t="shared" si="15"/>
        <v>607.57077830240678</v>
      </c>
      <c r="Z37" s="27">
        <f t="shared" si="16"/>
        <v>6.9935543656763147E-14</v>
      </c>
      <c r="AA37" s="27">
        <f t="shared" si="17"/>
        <v>42115184390.102768</v>
      </c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</row>
    <row r="38" spans="1:78" s="4" customFormat="1" x14ac:dyDescent="0.3">
      <c r="A38" s="26">
        <v>108</v>
      </c>
      <c r="B38" s="1">
        <f t="shared" si="2"/>
        <v>6480</v>
      </c>
      <c r="C38" s="26">
        <f t="shared" si="3"/>
        <v>1.8</v>
      </c>
      <c r="D38" s="26">
        <v>20</v>
      </c>
      <c r="E38" s="26">
        <f t="shared" si="0"/>
        <v>29.146000000000001</v>
      </c>
      <c r="F38" s="26">
        <f t="shared" si="4"/>
        <v>4.8576666666666667E-7</v>
      </c>
      <c r="G38" s="26">
        <v>21.1</v>
      </c>
      <c r="H38" s="26">
        <f t="shared" si="5"/>
        <v>294.10000000000002</v>
      </c>
      <c r="I38" s="26">
        <v>101.3</v>
      </c>
      <c r="J38" s="26">
        <f t="shared" si="6"/>
        <v>101300</v>
      </c>
      <c r="K38" s="26">
        <f t="shared" si="7"/>
        <v>2.0124824921938581E-5</v>
      </c>
      <c r="L38" s="28">
        <v>413.41089108910899</v>
      </c>
      <c r="M38" s="27">
        <f t="shared" si="8"/>
        <v>4.1341089108910898E-4</v>
      </c>
      <c r="N38" s="29">
        <f t="shared" si="9"/>
        <v>4.7762865441819992E-3</v>
      </c>
      <c r="O38" s="27">
        <f t="shared" si="10"/>
        <v>1.7419017320318276E-6</v>
      </c>
      <c r="P38" s="27">
        <f t="shared" si="11"/>
        <v>1.0017065452005086E+16</v>
      </c>
      <c r="Q38" s="21">
        <f t="shared" si="12"/>
        <v>2.032E-3</v>
      </c>
      <c r="R38" s="21">
        <v>1.94149580791897E-10</v>
      </c>
      <c r="S38" s="2">
        <v>0.32</v>
      </c>
      <c r="T38" s="27">
        <f t="shared" si="13"/>
        <v>132000</v>
      </c>
      <c r="U38" s="2">
        <v>5.36358238306597E-3</v>
      </c>
      <c r="V38" s="11">
        <v>0.11</v>
      </c>
      <c r="W38" s="30">
        <f t="shared" si="14"/>
        <v>111000.00000000001</v>
      </c>
      <c r="X38" s="30">
        <f t="shared" si="1"/>
        <v>45.888608910891101</v>
      </c>
      <c r="Y38" s="11">
        <f t="shared" si="15"/>
        <v>625.25653657357327</v>
      </c>
      <c r="Z38" s="27">
        <f t="shared" si="16"/>
        <v>7.1115902468414508E-14</v>
      </c>
      <c r="AA38" s="27">
        <f t="shared" si="17"/>
        <v>42825996466.479218</v>
      </c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</row>
    <row r="39" spans="1:78" s="4" customFormat="1" x14ac:dyDescent="0.3">
      <c r="A39" s="26">
        <v>111</v>
      </c>
      <c r="B39" s="1">
        <f t="shared" si="2"/>
        <v>6660</v>
      </c>
      <c r="C39" s="26">
        <f t="shared" si="3"/>
        <v>1.85</v>
      </c>
      <c r="D39" s="26">
        <v>20</v>
      </c>
      <c r="E39" s="26">
        <f t="shared" si="0"/>
        <v>29.146000000000001</v>
      </c>
      <c r="F39" s="26">
        <f t="shared" si="4"/>
        <v>4.8576666666666667E-7</v>
      </c>
      <c r="G39" s="26">
        <v>21.1</v>
      </c>
      <c r="H39" s="26">
        <f t="shared" si="5"/>
        <v>294.10000000000002</v>
      </c>
      <c r="I39" s="26">
        <v>101.3</v>
      </c>
      <c r="J39" s="26">
        <f t="shared" si="6"/>
        <v>101300</v>
      </c>
      <c r="K39" s="26">
        <f t="shared" si="7"/>
        <v>2.0124824921938581E-5</v>
      </c>
      <c r="L39" s="28">
        <v>417.54455445544556</v>
      </c>
      <c r="M39" s="27">
        <f t="shared" si="8"/>
        <v>4.1754455445544558E-4</v>
      </c>
      <c r="N39" s="29">
        <f t="shared" si="9"/>
        <v>4.7762865441819992E-3</v>
      </c>
      <c r="O39" s="27">
        <f t="shared" si="10"/>
        <v>1.7593188720556161E-6</v>
      </c>
      <c r="P39" s="27">
        <f t="shared" si="11"/>
        <v>1.0117225310851726E+16</v>
      </c>
      <c r="Q39" s="21">
        <f t="shared" si="12"/>
        <v>2.032E-3</v>
      </c>
      <c r="R39" s="21">
        <v>1.94149580791897E-10</v>
      </c>
      <c r="S39" s="2">
        <v>0.32</v>
      </c>
      <c r="T39" s="27">
        <f t="shared" si="13"/>
        <v>132000</v>
      </c>
      <c r="U39" s="2">
        <v>5.36358238306597E-3</v>
      </c>
      <c r="V39" s="11">
        <v>0.11</v>
      </c>
      <c r="W39" s="30">
        <f t="shared" si="14"/>
        <v>111000.00000000001</v>
      </c>
      <c r="X39" s="30">
        <f t="shared" si="1"/>
        <v>46.347445544554468</v>
      </c>
      <c r="Y39" s="11">
        <f t="shared" si="15"/>
        <v>636.10910121969596</v>
      </c>
      <c r="Z39" s="27">
        <f t="shared" si="16"/>
        <v>7.1832918801285364E-14</v>
      </c>
      <c r="AA39" s="27">
        <f t="shared" si="17"/>
        <v>43257783702.134048</v>
      </c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</row>
    <row r="40" spans="1:78" s="4" customFormat="1" x14ac:dyDescent="0.3">
      <c r="A40" s="26">
        <v>114</v>
      </c>
      <c r="B40" s="1">
        <f t="shared" si="2"/>
        <v>6840</v>
      </c>
      <c r="C40" s="26">
        <f t="shared" si="3"/>
        <v>1.9</v>
      </c>
      <c r="D40" s="26">
        <v>20</v>
      </c>
      <c r="E40" s="26">
        <f t="shared" si="0"/>
        <v>29.146000000000001</v>
      </c>
      <c r="F40" s="26">
        <f t="shared" si="4"/>
        <v>4.8576666666666667E-7</v>
      </c>
      <c r="G40" s="26">
        <v>21.1</v>
      </c>
      <c r="H40" s="26">
        <f t="shared" si="5"/>
        <v>294.10000000000002</v>
      </c>
      <c r="I40" s="26">
        <v>101.3</v>
      </c>
      <c r="J40" s="26">
        <f t="shared" si="6"/>
        <v>101300</v>
      </c>
      <c r="K40" s="26">
        <f t="shared" si="7"/>
        <v>2.0124824921938581E-5</v>
      </c>
      <c r="L40" s="28">
        <v>411.92574257425741</v>
      </c>
      <c r="M40" s="27">
        <f t="shared" si="8"/>
        <v>4.119257425742574E-4</v>
      </c>
      <c r="N40" s="29">
        <f t="shared" si="9"/>
        <v>4.7762865441819992E-3</v>
      </c>
      <c r="O40" s="27">
        <f t="shared" si="10"/>
        <v>1.7356440769334601E-6</v>
      </c>
      <c r="P40" s="27">
        <f t="shared" si="11"/>
        <v>9981079873976350</v>
      </c>
      <c r="Q40" s="21">
        <f t="shared" si="12"/>
        <v>2.032E-3</v>
      </c>
      <c r="R40" s="21">
        <v>1.94149580791897E-10</v>
      </c>
      <c r="S40" s="2">
        <v>0.32</v>
      </c>
      <c r="T40" s="27">
        <f t="shared" si="13"/>
        <v>132000</v>
      </c>
      <c r="U40" s="2">
        <v>5.36358238306597E-3</v>
      </c>
      <c r="V40" s="11">
        <v>0.11</v>
      </c>
      <c r="W40" s="30">
        <f t="shared" si="14"/>
        <v>111000.00000000001</v>
      </c>
      <c r="X40" s="30">
        <f t="shared" si="1"/>
        <v>45.723757425742576</v>
      </c>
      <c r="Y40" s="11">
        <f t="shared" si="15"/>
        <v>621.37815748269998</v>
      </c>
      <c r="Z40" s="27">
        <f t="shared" si="16"/>
        <v>7.0858331924596268E-14</v>
      </c>
      <c r="AA40" s="27">
        <f t="shared" si="17"/>
        <v>42670887484.991875</v>
      </c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</row>
    <row r="41" spans="1:78" s="4" customFormat="1" x14ac:dyDescent="0.3">
      <c r="A41" s="26">
        <v>117</v>
      </c>
      <c r="B41" s="1">
        <f t="shared" si="2"/>
        <v>7020</v>
      </c>
      <c r="C41" s="26">
        <f t="shared" si="3"/>
        <v>1.95</v>
      </c>
      <c r="D41" s="26">
        <v>20</v>
      </c>
      <c r="E41" s="26">
        <f t="shared" si="0"/>
        <v>29.146000000000001</v>
      </c>
      <c r="F41" s="26">
        <f t="shared" si="4"/>
        <v>4.8576666666666667E-7</v>
      </c>
      <c r="G41" s="26">
        <v>21.1</v>
      </c>
      <c r="H41" s="26">
        <f t="shared" si="5"/>
        <v>294.10000000000002</v>
      </c>
      <c r="I41" s="26">
        <v>101.3</v>
      </c>
      <c r="J41" s="26">
        <f t="shared" si="6"/>
        <v>101300</v>
      </c>
      <c r="K41" s="26">
        <f t="shared" si="7"/>
        <v>2.0124824921938581E-5</v>
      </c>
      <c r="L41" s="28">
        <v>410.34158415841586</v>
      </c>
      <c r="M41" s="27">
        <f t="shared" si="8"/>
        <v>4.1034158415841586E-4</v>
      </c>
      <c r="N41" s="29">
        <f t="shared" si="9"/>
        <v>4.7762865441819992E-3</v>
      </c>
      <c r="O41" s="27">
        <f t="shared" si="10"/>
        <v>1.7289692448285351E-6</v>
      </c>
      <c r="P41" s="27">
        <f t="shared" si="11"/>
        <v>9942695257412370</v>
      </c>
      <c r="Q41" s="21">
        <f t="shared" si="12"/>
        <v>2.032E-3</v>
      </c>
      <c r="R41" s="21">
        <v>1.94149580791897E-10</v>
      </c>
      <c r="S41" s="2">
        <v>0.32</v>
      </c>
      <c r="T41" s="27">
        <f t="shared" si="13"/>
        <v>132000</v>
      </c>
      <c r="U41" s="2">
        <v>5.36358238306597E-3</v>
      </c>
      <c r="V41" s="11">
        <v>0.11</v>
      </c>
      <c r="W41" s="30">
        <f t="shared" si="14"/>
        <v>111000.00000000001</v>
      </c>
      <c r="X41" s="30">
        <f t="shared" si="1"/>
        <v>45.547915841584164</v>
      </c>
      <c r="Y41" s="11">
        <f t="shared" si="15"/>
        <v>617.25331552558498</v>
      </c>
      <c r="Z41" s="27">
        <f t="shared" si="16"/>
        <v>7.0583613270745065E-14</v>
      </c>
      <c r="AA41" s="27">
        <f t="shared" si="17"/>
        <v>42505451911.642677</v>
      </c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</row>
    <row r="42" spans="1:78" s="4" customFormat="1" x14ac:dyDescent="0.3">
      <c r="A42" s="26">
        <v>120</v>
      </c>
      <c r="B42" s="1">
        <f t="shared" si="2"/>
        <v>7200</v>
      </c>
      <c r="C42" s="26">
        <f t="shared" si="3"/>
        <v>2</v>
      </c>
      <c r="D42" s="26">
        <v>20</v>
      </c>
      <c r="E42" s="26">
        <f t="shared" si="0"/>
        <v>29.146000000000001</v>
      </c>
      <c r="F42" s="26">
        <f t="shared" si="4"/>
        <v>4.8576666666666667E-7</v>
      </c>
      <c r="G42" s="26">
        <v>21.1</v>
      </c>
      <c r="H42" s="26">
        <f t="shared" si="5"/>
        <v>294.10000000000002</v>
      </c>
      <c r="I42" s="26">
        <v>101.3</v>
      </c>
      <c r="J42" s="26">
        <f t="shared" si="6"/>
        <v>101300</v>
      </c>
      <c r="K42" s="26">
        <f t="shared" si="7"/>
        <v>2.0124824921938581E-5</v>
      </c>
      <c r="L42" s="28">
        <v>409.00495049504957</v>
      </c>
      <c r="M42" s="27">
        <f t="shared" si="8"/>
        <v>4.0900495049504956E-4</v>
      </c>
      <c r="N42" s="29">
        <f t="shared" si="9"/>
        <v>4.7762865441819992E-3</v>
      </c>
      <c r="O42" s="27">
        <f t="shared" si="10"/>
        <v>1.7233373552400048E-6</v>
      </c>
      <c r="P42" s="27">
        <f t="shared" si="11"/>
        <v>9910308237186508</v>
      </c>
      <c r="Q42" s="21">
        <f t="shared" si="12"/>
        <v>2.032E-3</v>
      </c>
      <c r="R42" s="21">
        <v>1.94149580791897E-10</v>
      </c>
      <c r="S42" s="2">
        <v>0.32</v>
      </c>
      <c r="T42" s="27">
        <f t="shared" si="13"/>
        <v>132000</v>
      </c>
      <c r="U42" s="2">
        <v>5.36358238306597E-3</v>
      </c>
      <c r="V42" s="11">
        <v>0.11</v>
      </c>
      <c r="W42" s="30">
        <f t="shared" si="14"/>
        <v>111000.00000000001</v>
      </c>
      <c r="X42" s="30">
        <f t="shared" si="1"/>
        <v>45.399549504950507</v>
      </c>
      <c r="Y42" s="11">
        <f t="shared" si="15"/>
        <v>613.78269586562442</v>
      </c>
      <c r="Z42" s="27">
        <f t="shared" si="16"/>
        <v>7.0351838026117918E-14</v>
      </c>
      <c r="AA42" s="27">
        <f t="shared" si="17"/>
        <v>42365876859.328209</v>
      </c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</row>
    <row r="43" spans="1:78" s="4" customFormat="1" x14ac:dyDescent="0.3">
      <c r="A43" s="26">
        <v>123</v>
      </c>
      <c r="B43" s="1">
        <f t="shared" si="2"/>
        <v>7380</v>
      </c>
      <c r="C43" s="26">
        <f t="shared" si="3"/>
        <v>2.0499999999999998</v>
      </c>
      <c r="D43" s="26">
        <v>20</v>
      </c>
      <c r="E43" s="26">
        <f t="shared" si="0"/>
        <v>29.146000000000001</v>
      </c>
      <c r="F43" s="26">
        <f t="shared" si="4"/>
        <v>4.8576666666666667E-7</v>
      </c>
      <c r="G43" s="26">
        <v>21.1</v>
      </c>
      <c r="H43" s="26">
        <f t="shared" si="5"/>
        <v>294.10000000000002</v>
      </c>
      <c r="I43" s="26">
        <v>101.3</v>
      </c>
      <c r="J43" s="26">
        <f t="shared" si="6"/>
        <v>101300</v>
      </c>
      <c r="K43" s="26">
        <f t="shared" si="7"/>
        <v>2.0124824921938581E-5</v>
      </c>
      <c r="L43" s="28">
        <v>411.95049504950498</v>
      </c>
      <c r="M43" s="27">
        <f t="shared" si="8"/>
        <v>4.1195049504950498E-4</v>
      </c>
      <c r="N43" s="29">
        <f t="shared" si="9"/>
        <v>4.7762865441819992E-3</v>
      </c>
      <c r="O43" s="27">
        <f t="shared" si="10"/>
        <v>1.7357483711850998E-6</v>
      </c>
      <c r="P43" s="27">
        <f t="shared" si="11"/>
        <v>9981679633610164</v>
      </c>
      <c r="Q43" s="21">
        <f t="shared" si="12"/>
        <v>2.032E-3</v>
      </c>
      <c r="R43" s="21">
        <v>1.94149580791897E-10</v>
      </c>
      <c r="S43" s="2">
        <v>0.32</v>
      </c>
      <c r="T43" s="27">
        <f t="shared" si="13"/>
        <v>132000</v>
      </c>
      <c r="U43" s="2">
        <v>5.36358238306597E-3</v>
      </c>
      <c r="V43" s="11">
        <v>0.11</v>
      </c>
      <c r="W43" s="30">
        <f t="shared" si="14"/>
        <v>111000.00000000001</v>
      </c>
      <c r="X43" s="30">
        <f t="shared" si="1"/>
        <v>45.726504950495062</v>
      </c>
      <c r="Y43" s="11">
        <f t="shared" si="15"/>
        <v>621.44270722150645</v>
      </c>
      <c r="Z43" s="27">
        <f t="shared" si="16"/>
        <v>7.0862624593881041E-14</v>
      </c>
      <c r="AA43" s="27">
        <f t="shared" si="17"/>
        <v>42673472530.435165</v>
      </c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</row>
    <row r="44" spans="1:78" s="4" customFormat="1" x14ac:dyDescent="0.3">
      <c r="A44" s="26">
        <v>126</v>
      </c>
      <c r="B44" s="1">
        <f t="shared" si="2"/>
        <v>7560</v>
      </c>
      <c r="C44" s="26">
        <f t="shared" si="3"/>
        <v>2.1</v>
      </c>
      <c r="D44" s="26">
        <v>20</v>
      </c>
      <c r="E44" s="26">
        <f t="shared" si="0"/>
        <v>29.146000000000001</v>
      </c>
      <c r="F44" s="26">
        <f t="shared" si="4"/>
        <v>4.8576666666666667E-7</v>
      </c>
      <c r="G44" s="26">
        <v>21.1</v>
      </c>
      <c r="H44" s="26">
        <f t="shared" si="5"/>
        <v>294.10000000000002</v>
      </c>
      <c r="I44" s="26">
        <v>101.3</v>
      </c>
      <c r="J44" s="26">
        <f t="shared" si="6"/>
        <v>101300</v>
      </c>
      <c r="K44" s="26">
        <f t="shared" si="7"/>
        <v>2.0124824921938581E-5</v>
      </c>
      <c r="L44" s="28">
        <v>404.67326732673268</v>
      </c>
      <c r="M44" s="27">
        <f t="shared" si="8"/>
        <v>4.0467326732673267E-4</v>
      </c>
      <c r="N44" s="29">
        <f t="shared" si="9"/>
        <v>4.7762865441819992E-3</v>
      </c>
      <c r="O44" s="27">
        <f t="shared" si="10"/>
        <v>1.7050858612031001E-6</v>
      </c>
      <c r="P44" s="27">
        <f t="shared" si="11"/>
        <v>9805350301269368</v>
      </c>
      <c r="Q44" s="21">
        <f t="shared" si="12"/>
        <v>2.032E-3</v>
      </c>
      <c r="R44" s="21">
        <v>1.94149580791897E-10</v>
      </c>
      <c r="S44" s="2">
        <v>0.32</v>
      </c>
      <c r="T44" s="27">
        <f t="shared" si="13"/>
        <v>132000</v>
      </c>
      <c r="U44" s="2">
        <v>5.36358238306597E-3</v>
      </c>
      <c r="V44" s="11">
        <v>0.11</v>
      </c>
      <c r="W44" s="30">
        <f t="shared" si="14"/>
        <v>111000.00000000001</v>
      </c>
      <c r="X44" s="30">
        <f t="shared" si="1"/>
        <v>44.918732673267336</v>
      </c>
      <c r="Y44" s="11">
        <f t="shared" si="15"/>
        <v>602.5964614507177</v>
      </c>
      <c r="Z44" s="27">
        <f t="shared" si="16"/>
        <v>6.9600831070309188E-14</v>
      </c>
      <c r="AA44" s="27">
        <f t="shared" si="17"/>
        <v>41913620470.540192</v>
      </c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</row>
    <row r="45" spans="1:78" s="4" customFormat="1" x14ac:dyDescent="0.3">
      <c r="A45" s="26">
        <v>129</v>
      </c>
      <c r="B45" s="1">
        <f t="shared" si="2"/>
        <v>7740</v>
      </c>
      <c r="C45" s="26">
        <f t="shared" si="3"/>
        <v>2.15</v>
      </c>
      <c r="D45" s="26">
        <v>20</v>
      </c>
      <c r="E45" s="26">
        <f t="shared" si="0"/>
        <v>29.146000000000001</v>
      </c>
      <c r="F45" s="26">
        <f t="shared" si="4"/>
        <v>4.8576666666666667E-7</v>
      </c>
      <c r="G45" s="26">
        <v>21.1</v>
      </c>
      <c r="H45" s="26">
        <f t="shared" si="5"/>
        <v>294.10000000000002</v>
      </c>
      <c r="I45" s="26">
        <v>101.3</v>
      </c>
      <c r="J45" s="26">
        <f t="shared" si="6"/>
        <v>101300</v>
      </c>
      <c r="K45" s="26">
        <f t="shared" si="7"/>
        <v>2.0124824921938581E-5</v>
      </c>
      <c r="L45" s="28">
        <v>408.48514851485152</v>
      </c>
      <c r="M45" s="27">
        <f t="shared" si="8"/>
        <v>4.084851485148515E-4</v>
      </c>
      <c r="N45" s="29">
        <f t="shared" si="9"/>
        <v>4.7762865441819992E-3</v>
      </c>
      <c r="O45" s="27">
        <f t="shared" si="10"/>
        <v>1.721147175955576E-6</v>
      </c>
      <c r="P45" s="27">
        <f t="shared" si="11"/>
        <v>9897713284876452</v>
      </c>
      <c r="Q45" s="21">
        <f t="shared" si="12"/>
        <v>2.032E-3</v>
      </c>
      <c r="R45" s="21">
        <v>1.94149580791897E-10</v>
      </c>
      <c r="S45" s="2">
        <v>0.32</v>
      </c>
      <c r="T45" s="27">
        <f t="shared" si="13"/>
        <v>132000</v>
      </c>
      <c r="U45" s="2">
        <v>5.36358238306597E-3</v>
      </c>
      <c r="V45" s="11">
        <v>0.11</v>
      </c>
      <c r="W45" s="30">
        <f t="shared" si="14"/>
        <v>111000.00000000001</v>
      </c>
      <c r="X45" s="30">
        <f t="shared" si="1"/>
        <v>45.341851485148524</v>
      </c>
      <c r="Y45" s="11">
        <f t="shared" si="15"/>
        <v>612.43541266668706</v>
      </c>
      <c r="Z45" s="27">
        <f t="shared" si="16"/>
        <v>7.0261707800230092E-14</v>
      </c>
      <c r="AA45" s="27">
        <f t="shared" si="17"/>
        <v>42311600437.298561</v>
      </c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</row>
    <row r="46" spans="1:78" s="4" customFormat="1" x14ac:dyDescent="0.3">
      <c r="A46" s="26">
        <v>132</v>
      </c>
      <c r="B46" s="1">
        <f t="shared" si="2"/>
        <v>7920</v>
      </c>
      <c r="C46" s="26">
        <f t="shared" si="3"/>
        <v>2.2000000000000002</v>
      </c>
      <c r="D46" s="26">
        <v>20</v>
      </c>
      <c r="E46" s="26">
        <f t="shared" si="0"/>
        <v>29.146000000000001</v>
      </c>
      <c r="F46" s="26">
        <f t="shared" si="4"/>
        <v>4.8576666666666667E-7</v>
      </c>
      <c r="G46" s="26">
        <v>21.1</v>
      </c>
      <c r="H46" s="26">
        <f t="shared" si="5"/>
        <v>294.10000000000002</v>
      </c>
      <c r="I46" s="26">
        <v>101.3</v>
      </c>
      <c r="J46" s="26">
        <f t="shared" si="6"/>
        <v>101300</v>
      </c>
      <c r="K46" s="26">
        <f t="shared" si="7"/>
        <v>2.0124824921938581E-5</v>
      </c>
      <c r="L46" s="28">
        <v>418.73267326732679</v>
      </c>
      <c r="M46" s="27">
        <f t="shared" si="8"/>
        <v>4.1873267326732677E-4</v>
      </c>
      <c r="N46" s="29">
        <f t="shared" si="9"/>
        <v>4.7762865441819992E-3</v>
      </c>
      <c r="O46" s="27">
        <f t="shared" si="10"/>
        <v>1.76432499613431E-6</v>
      </c>
      <c r="P46" s="27">
        <f t="shared" si="11"/>
        <v>1.0146013773274714E+16</v>
      </c>
      <c r="Q46" s="21">
        <f t="shared" si="12"/>
        <v>2.032E-3</v>
      </c>
      <c r="R46" s="21">
        <v>1.94149580791897E-10</v>
      </c>
      <c r="S46" s="2">
        <v>0.32</v>
      </c>
      <c r="T46" s="27">
        <f t="shared" si="13"/>
        <v>132000</v>
      </c>
      <c r="U46" s="2">
        <v>5.36358238306597E-3</v>
      </c>
      <c r="V46" s="11">
        <v>0.11</v>
      </c>
      <c r="W46" s="30">
        <f t="shared" si="14"/>
        <v>111000.00000000001</v>
      </c>
      <c r="X46" s="30">
        <f t="shared" si="1"/>
        <v>46.479326732673279</v>
      </c>
      <c r="Y46" s="11">
        <f t="shared" si="15"/>
        <v>639.24411128588395</v>
      </c>
      <c r="Z46" s="27">
        <f t="shared" si="16"/>
        <v>7.2039037863681678E-14</v>
      </c>
      <c r="AA46" s="27">
        <f t="shared" si="17"/>
        <v>43381908601.509109</v>
      </c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</row>
    <row r="47" spans="1:78" s="4" customFormat="1" x14ac:dyDescent="0.3">
      <c r="A47" s="26">
        <v>135</v>
      </c>
      <c r="B47" s="1">
        <f t="shared" si="2"/>
        <v>8100</v>
      </c>
      <c r="C47" s="26">
        <f t="shared" si="3"/>
        <v>2.25</v>
      </c>
      <c r="D47" s="26">
        <v>20</v>
      </c>
      <c r="E47" s="26">
        <f t="shared" si="0"/>
        <v>29.146000000000001</v>
      </c>
      <c r="F47" s="26">
        <f t="shared" si="4"/>
        <v>4.8576666666666667E-7</v>
      </c>
      <c r="G47" s="26">
        <v>21.1</v>
      </c>
      <c r="H47" s="26">
        <f t="shared" si="5"/>
        <v>294.10000000000002</v>
      </c>
      <c r="I47" s="26">
        <v>101.3</v>
      </c>
      <c r="J47" s="26">
        <f t="shared" si="6"/>
        <v>101300</v>
      </c>
      <c r="K47" s="26">
        <f t="shared" si="7"/>
        <v>2.0124824921938581E-5</v>
      </c>
      <c r="L47" s="28">
        <v>402.37128712871288</v>
      </c>
      <c r="M47" s="27">
        <f t="shared" si="8"/>
        <v>4.023712871287129E-4</v>
      </c>
      <c r="N47" s="29">
        <f t="shared" si="9"/>
        <v>4.7762865441819992E-3</v>
      </c>
      <c r="O47" s="27">
        <f t="shared" si="10"/>
        <v>1.6953864958006314E-6</v>
      </c>
      <c r="P47" s="27">
        <f t="shared" si="11"/>
        <v>9749572655324832</v>
      </c>
      <c r="Q47" s="21">
        <f t="shared" si="12"/>
        <v>2.032E-3</v>
      </c>
      <c r="R47" s="21">
        <v>1.94149580791897E-10</v>
      </c>
      <c r="S47" s="2">
        <v>0.32</v>
      </c>
      <c r="T47" s="27">
        <f t="shared" si="13"/>
        <v>132000</v>
      </c>
      <c r="U47" s="2">
        <v>5.36358238306597E-3</v>
      </c>
      <c r="V47" s="11">
        <v>0.11</v>
      </c>
      <c r="W47" s="30">
        <f t="shared" si="14"/>
        <v>111000.00000000001</v>
      </c>
      <c r="X47" s="30">
        <f t="shared" si="1"/>
        <v>44.663212871287136</v>
      </c>
      <c r="Y47" s="11">
        <f t="shared" si="15"/>
        <v>596.6898317350458</v>
      </c>
      <c r="Z47" s="27">
        <f t="shared" si="16"/>
        <v>6.9201796588837652E-14</v>
      </c>
      <c r="AA47" s="27">
        <f t="shared" si="17"/>
        <v>41673321905.798035</v>
      </c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</row>
    <row r="48" spans="1:78" s="4" customFormat="1" x14ac:dyDescent="0.3">
      <c r="A48" s="26">
        <v>138</v>
      </c>
      <c r="B48" s="1">
        <f t="shared" si="2"/>
        <v>8280</v>
      </c>
      <c r="C48" s="26">
        <f t="shared" si="3"/>
        <v>2.2999999999999998</v>
      </c>
      <c r="D48" s="26">
        <v>20</v>
      </c>
      <c r="E48" s="26">
        <f t="shared" si="0"/>
        <v>29.146000000000001</v>
      </c>
      <c r="F48" s="26">
        <f t="shared" si="4"/>
        <v>4.8576666666666667E-7</v>
      </c>
      <c r="G48" s="26">
        <v>21.1</v>
      </c>
      <c r="H48" s="26">
        <f t="shared" si="5"/>
        <v>294.10000000000002</v>
      </c>
      <c r="I48" s="26">
        <v>101.3</v>
      </c>
      <c r="J48" s="26">
        <f t="shared" si="6"/>
        <v>101300</v>
      </c>
      <c r="K48" s="26">
        <f t="shared" si="7"/>
        <v>2.0124824921938581E-5</v>
      </c>
      <c r="L48" s="28">
        <v>392.79207920792084</v>
      </c>
      <c r="M48" s="27">
        <f t="shared" si="8"/>
        <v>3.9279207920792081E-4</v>
      </c>
      <c r="N48" s="29">
        <f t="shared" si="9"/>
        <v>4.7762865441819992E-3</v>
      </c>
      <c r="O48" s="27">
        <f t="shared" si="10"/>
        <v>1.6550246204161623E-6</v>
      </c>
      <c r="P48" s="27">
        <f t="shared" si="11"/>
        <v>9517465677039498</v>
      </c>
      <c r="Q48" s="21">
        <f t="shared" si="12"/>
        <v>2.032E-3</v>
      </c>
      <c r="R48" s="21">
        <v>1.94149580791897E-10</v>
      </c>
      <c r="S48" s="2">
        <v>0.32</v>
      </c>
      <c r="T48" s="27">
        <f t="shared" si="13"/>
        <v>132000</v>
      </c>
      <c r="U48" s="2">
        <v>5.36358238306597E-3</v>
      </c>
      <c r="V48" s="11">
        <v>0.11</v>
      </c>
      <c r="W48" s="30">
        <f t="shared" si="14"/>
        <v>111000.00000000001</v>
      </c>
      <c r="X48" s="30">
        <f t="shared" si="1"/>
        <v>43.599920792079217</v>
      </c>
      <c r="Y48" s="11">
        <f t="shared" si="15"/>
        <v>572.39467585655302</v>
      </c>
      <c r="Z48" s="27">
        <f t="shared" si="16"/>
        <v>6.7541829402668711E-14</v>
      </c>
      <c r="AA48" s="27">
        <f t="shared" si="17"/>
        <v>40673689666.287102</v>
      </c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</row>
    <row r="49" spans="1:78" s="4" customFormat="1" x14ac:dyDescent="0.3">
      <c r="A49" s="26">
        <v>141</v>
      </c>
      <c r="B49" s="1">
        <f t="shared" si="2"/>
        <v>8460</v>
      </c>
      <c r="C49" s="26">
        <f t="shared" si="3"/>
        <v>2.35</v>
      </c>
      <c r="D49" s="26">
        <v>20</v>
      </c>
      <c r="E49" s="26">
        <f t="shared" si="0"/>
        <v>29.146000000000001</v>
      </c>
      <c r="F49" s="26">
        <f t="shared" si="4"/>
        <v>4.8576666666666667E-7</v>
      </c>
      <c r="G49" s="26">
        <v>21.1</v>
      </c>
      <c r="H49" s="26">
        <f t="shared" si="5"/>
        <v>294.10000000000002</v>
      </c>
      <c r="I49" s="26">
        <v>101.3</v>
      </c>
      <c r="J49" s="26">
        <f t="shared" si="6"/>
        <v>101300</v>
      </c>
      <c r="K49" s="26">
        <f t="shared" si="7"/>
        <v>2.0124824921938581E-5</v>
      </c>
      <c r="L49" s="28">
        <v>405.86138613861385</v>
      </c>
      <c r="M49" s="27">
        <f t="shared" si="8"/>
        <v>4.0586138613861385E-4</v>
      </c>
      <c r="N49" s="29">
        <f t="shared" si="9"/>
        <v>4.7762865441819992E-3</v>
      </c>
      <c r="O49" s="27">
        <f t="shared" si="10"/>
        <v>1.7100919852817939E-6</v>
      </c>
      <c r="P49" s="27">
        <f t="shared" si="11"/>
        <v>9834138763692356</v>
      </c>
      <c r="Q49" s="21">
        <f t="shared" si="12"/>
        <v>2.032E-3</v>
      </c>
      <c r="R49" s="21">
        <v>1.94149580791897E-10</v>
      </c>
      <c r="S49" s="2">
        <v>0.32</v>
      </c>
      <c r="T49" s="27">
        <f t="shared" si="13"/>
        <v>132000</v>
      </c>
      <c r="U49" s="2">
        <v>5.36358238306597E-3</v>
      </c>
      <c r="V49" s="11">
        <v>0.11</v>
      </c>
      <c r="W49" s="30">
        <f t="shared" si="14"/>
        <v>111000.00000000001</v>
      </c>
      <c r="X49" s="30">
        <f t="shared" si="1"/>
        <v>45.050613861386147</v>
      </c>
      <c r="Y49" s="11">
        <f t="shared" si="15"/>
        <v>605.65538108753231</v>
      </c>
      <c r="Z49" s="27">
        <f t="shared" si="16"/>
        <v>6.9806803879438201E-14</v>
      </c>
      <c r="AA49" s="27">
        <f t="shared" si="17"/>
        <v>42037657296.197685</v>
      </c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</row>
    <row r="50" spans="1:78" s="4" customFormat="1" x14ac:dyDescent="0.3">
      <c r="A50" s="26">
        <v>144</v>
      </c>
      <c r="B50" s="1">
        <f t="shared" si="2"/>
        <v>8640</v>
      </c>
      <c r="C50" s="26">
        <f t="shared" si="3"/>
        <v>2.4</v>
      </c>
      <c r="D50" s="26">
        <v>20</v>
      </c>
      <c r="E50" s="26">
        <f t="shared" si="0"/>
        <v>29.146000000000001</v>
      </c>
      <c r="F50" s="26">
        <f t="shared" si="4"/>
        <v>4.8576666666666667E-7</v>
      </c>
      <c r="G50" s="26">
        <v>21.1</v>
      </c>
      <c r="H50" s="26">
        <f t="shared" si="5"/>
        <v>294.10000000000002</v>
      </c>
      <c r="I50" s="26">
        <v>101.3</v>
      </c>
      <c r="J50" s="26">
        <f t="shared" si="6"/>
        <v>101300</v>
      </c>
      <c r="K50" s="26">
        <f t="shared" si="7"/>
        <v>2.0124824921938581E-5</v>
      </c>
      <c r="L50" s="28">
        <v>407.66831683168317</v>
      </c>
      <c r="M50" s="27">
        <f t="shared" si="8"/>
        <v>4.0766831683168315E-4</v>
      </c>
      <c r="N50" s="29">
        <f t="shared" si="9"/>
        <v>4.7762865441819992E-3</v>
      </c>
      <c r="O50" s="27">
        <f t="shared" si="10"/>
        <v>1.7177054656514741E-6</v>
      </c>
      <c r="P50" s="27">
        <f t="shared" si="11"/>
        <v>9877921216960648</v>
      </c>
      <c r="Q50" s="21">
        <f t="shared" si="12"/>
        <v>2.032E-3</v>
      </c>
      <c r="R50" s="21">
        <v>1.94149580791897E-10</v>
      </c>
      <c r="S50" s="2">
        <v>0.32</v>
      </c>
      <c r="T50" s="27">
        <f t="shared" si="13"/>
        <v>132000</v>
      </c>
      <c r="U50" s="2">
        <v>5.36358238306597E-3</v>
      </c>
      <c r="V50" s="11">
        <v>0.11</v>
      </c>
      <c r="W50" s="30">
        <f t="shared" si="14"/>
        <v>111000.00000000001</v>
      </c>
      <c r="X50" s="30">
        <f t="shared" si="1"/>
        <v>45.251183168316835</v>
      </c>
      <c r="Y50" s="11">
        <f t="shared" si="15"/>
        <v>610.32097194771086</v>
      </c>
      <c r="Z50" s="27">
        <f t="shared" si="16"/>
        <v>7.0120079773521234E-14</v>
      </c>
      <c r="AA50" s="27">
        <f t="shared" si="17"/>
        <v>42226312039.614487</v>
      </c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</row>
    <row r="51" spans="1:78" s="4" customFormat="1" x14ac:dyDescent="0.3">
      <c r="A51" s="26">
        <v>147</v>
      </c>
      <c r="B51" s="1">
        <f t="shared" si="2"/>
        <v>8820</v>
      </c>
      <c r="C51" s="26">
        <f t="shared" si="3"/>
        <v>2.4500000000000002</v>
      </c>
      <c r="D51" s="26">
        <v>20</v>
      </c>
      <c r="E51" s="26">
        <f t="shared" si="0"/>
        <v>29.146000000000001</v>
      </c>
      <c r="F51" s="26">
        <f t="shared" si="4"/>
        <v>4.8576666666666667E-7</v>
      </c>
      <c r="G51" s="26">
        <v>21.1</v>
      </c>
      <c r="H51" s="26">
        <f t="shared" si="5"/>
        <v>294.10000000000002</v>
      </c>
      <c r="I51" s="26">
        <v>101.3</v>
      </c>
      <c r="J51" s="26">
        <f t="shared" si="6"/>
        <v>101300</v>
      </c>
      <c r="K51" s="26">
        <f t="shared" si="7"/>
        <v>2.0124824921938581E-5</v>
      </c>
      <c r="L51" s="28">
        <v>396.75247524752479</v>
      </c>
      <c r="M51" s="27">
        <f t="shared" si="8"/>
        <v>3.9675247524752476E-4</v>
      </c>
      <c r="N51" s="29">
        <f t="shared" si="9"/>
        <v>4.7762865441819992E-3</v>
      </c>
      <c r="O51" s="27">
        <f t="shared" si="10"/>
        <v>1.6717117006784752E-6</v>
      </c>
      <c r="P51" s="27">
        <f t="shared" si="11"/>
        <v>9613427218449456</v>
      </c>
      <c r="Q51" s="21">
        <f t="shared" si="12"/>
        <v>2.032E-3</v>
      </c>
      <c r="R51" s="21">
        <v>1.94149580791897E-10</v>
      </c>
      <c r="S51" s="2">
        <v>0.32</v>
      </c>
      <c r="T51" s="27">
        <f t="shared" si="13"/>
        <v>132000</v>
      </c>
      <c r="U51" s="2">
        <v>5.36358238306597E-3</v>
      </c>
      <c r="V51" s="11">
        <v>0.11</v>
      </c>
      <c r="W51" s="30">
        <f t="shared" si="14"/>
        <v>111000.00000000001</v>
      </c>
      <c r="X51" s="30">
        <f t="shared" si="1"/>
        <v>44.039524752475252</v>
      </c>
      <c r="Y51" s="11">
        <f t="shared" si="15"/>
        <v>582.38360732172339</v>
      </c>
      <c r="Z51" s="27">
        <f t="shared" si="16"/>
        <v>6.8228017471665742E-14</v>
      </c>
      <c r="AA51" s="27">
        <f t="shared" si="17"/>
        <v>41086912121.437111</v>
      </c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</row>
    <row r="52" spans="1:78" s="4" customFormat="1" x14ac:dyDescent="0.3">
      <c r="A52" s="26">
        <v>150</v>
      </c>
      <c r="B52" s="1">
        <f t="shared" si="2"/>
        <v>9000</v>
      </c>
      <c r="C52" s="26">
        <f t="shared" si="3"/>
        <v>2.5</v>
      </c>
      <c r="D52" s="26">
        <v>20</v>
      </c>
      <c r="E52" s="26">
        <f t="shared" si="0"/>
        <v>29.146000000000001</v>
      </c>
      <c r="F52" s="26">
        <f t="shared" si="4"/>
        <v>4.8576666666666667E-7</v>
      </c>
      <c r="G52" s="26">
        <v>21.1</v>
      </c>
      <c r="H52" s="26">
        <f t="shared" si="5"/>
        <v>294.10000000000002</v>
      </c>
      <c r="I52" s="26">
        <v>101.3</v>
      </c>
      <c r="J52" s="26">
        <f t="shared" si="6"/>
        <v>101300</v>
      </c>
      <c r="K52" s="26">
        <f t="shared" si="7"/>
        <v>2.0124824921938581E-5</v>
      </c>
      <c r="L52" s="28">
        <v>404.64851485148517</v>
      </c>
      <c r="M52" s="27">
        <f t="shared" si="8"/>
        <v>4.0464851485148519E-4</v>
      </c>
      <c r="N52" s="29">
        <f t="shared" si="9"/>
        <v>4.7762865441819992E-3</v>
      </c>
      <c r="O52" s="27">
        <f t="shared" si="10"/>
        <v>1.7049815669514609E-6</v>
      </c>
      <c r="P52" s="27">
        <f t="shared" si="11"/>
        <v>9804750541635556</v>
      </c>
      <c r="Q52" s="21">
        <f t="shared" si="12"/>
        <v>2.032E-3</v>
      </c>
      <c r="R52" s="21">
        <v>1.94149580791897E-10</v>
      </c>
      <c r="S52" s="2">
        <v>0.32</v>
      </c>
      <c r="T52" s="27">
        <f t="shared" si="13"/>
        <v>132000</v>
      </c>
      <c r="U52" s="2">
        <v>5.36358238306597E-3</v>
      </c>
      <c r="V52" s="11">
        <v>0.11</v>
      </c>
      <c r="W52" s="30">
        <f t="shared" si="14"/>
        <v>111000.00000000001</v>
      </c>
      <c r="X52" s="30">
        <f t="shared" si="1"/>
        <v>44.915985148514864</v>
      </c>
      <c r="Y52" s="11">
        <f t="shared" si="15"/>
        <v>602.53280877903364</v>
      </c>
      <c r="Z52" s="27">
        <f t="shared" si="16"/>
        <v>6.9596540111726439E-14</v>
      </c>
      <c r="AA52" s="27">
        <f t="shared" si="17"/>
        <v>41911036455.281662</v>
      </c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</row>
    <row r="53" spans="1:78" s="4" customFormat="1" x14ac:dyDescent="0.3">
      <c r="A53" s="26">
        <v>153</v>
      </c>
      <c r="B53" s="1">
        <f t="shared" si="2"/>
        <v>9180</v>
      </c>
      <c r="C53" s="26">
        <f t="shared" si="3"/>
        <v>2.5499999999999998</v>
      </c>
      <c r="D53" s="26">
        <v>20</v>
      </c>
      <c r="E53" s="26">
        <f t="shared" si="0"/>
        <v>29.146000000000001</v>
      </c>
      <c r="F53" s="26">
        <f t="shared" si="4"/>
        <v>4.8576666666666667E-7</v>
      </c>
      <c r="G53" s="26">
        <v>21.1</v>
      </c>
      <c r="H53" s="26">
        <f t="shared" si="5"/>
        <v>294.10000000000002</v>
      </c>
      <c r="I53" s="26">
        <v>101.3</v>
      </c>
      <c r="J53" s="26">
        <f t="shared" si="6"/>
        <v>101300</v>
      </c>
      <c r="K53" s="26">
        <f t="shared" si="7"/>
        <v>2.0124824921938581E-5</v>
      </c>
      <c r="L53" s="28">
        <v>412.81683168316835</v>
      </c>
      <c r="M53" s="27">
        <f t="shared" si="8"/>
        <v>4.1281683168316834E-4</v>
      </c>
      <c r="N53" s="29">
        <f t="shared" si="9"/>
        <v>4.7762865441819992E-3</v>
      </c>
      <c r="O53" s="27">
        <f t="shared" si="10"/>
        <v>1.7393986699924807E-6</v>
      </c>
      <c r="P53" s="27">
        <f t="shared" si="11"/>
        <v>1.0002671220793592E+16</v>
      </c>
      <c r="Q53" s="21">
        <f t="shared" si="12"/>
        <v>2.032E-3</v>
      </c>
      <c r="R53" s="21">
        <v>1.94149580791897E-10</v>
      </c>
      <c r="S53" s="2">
        <v>0.32</v>
      </c>
      <c r="T53" s="27">
        <f t="shared" si="13"/>
        <v>132000</v>
      </c>
      <c r="U53" s="2">
        <v>5.36358238306597E-3</v>
      </c>
      <c r="V53" s="11">
        <v>0.11</v>
      </c>
      <c r="W53" s="30">
        <f t="shared" si="14"/>
        <v>111000.00000000001</v>
      </c>
      <c r="X53" s="30">
        <f t="shared" si="1"/>
        <v>45.822668316831688</v>
      </c>
      <c r="Y53" s="11">
        <f t="shared" si="15"/>
        <v>623.7038683499519</v>
      </c>
      <c r="Z53" s="27">
        <f t="shared" si="16"/>
        <v>7.1012871714325085E-14</v>
      </c>
      <c r="AA53" s="27">
        <f t="shared" si="17"/>
        <v>42763951346.36657</v>
      </c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</row>
    <row r="54" spans="1:78" s="4" customFormat="1" x14ac:dyDescent="0.3">
      <c r="A54" s="26">
        <v>156</v>
      </c>
      <c r="B54" s="1">
        <f t="shared" si="2"/>
        <v>9360</v>
      </c>
      <c r="C54" s="26">
        <f t="shared" si="3"/>
        <v>2.6</v>
      </c>
      <c r="D54" s="26">
        <v>20</v>
      </c>
      <c r="E54" s="26">
        <f t="shared" si="0"/>
        <v>29.146000000000001</v>
      </c>
      <c r="F54" s="26">
        <f t="shared" si="4"/>
        <v>4.8576666666666667E-7</v>
      </c>
      <c r="G54" s="26">
        <v>21.1</v>
      </c>
      <c r="H54" s="26">
        <f t="shared" si="5"/>
        <v>294.10000000000002</v>
      </c>
      <c r="I54" s="26">
        <v>101.3</v>
      </c>
      <c r="J54" s="26">
        <f t="shared" si="6"/>
        <v>101300</v>
      </c>
      <c r="K54" s="26">
        <f t="shared" si="7"/>
        <v>2.0124824921938581E-5</v>
      </c>
      <c r="L54" s="28">
        <v>391.28217821782181</v>
      </c>
      <c r="M54" s="27">
        <f t="shared" si="8"/>
        <v>3.9128217821782181E-4</v>
      </c>
      <c r="N54" s="29">
        <f t="shared" si="9"/>
        <v>4.7762865441819992E-3</v>
      </c>
      <c r="O54" s="27">
        <f t="shared" si="10"/>
        <v>1.648662671066156E-6</v>
      </c>
      <c r="P54" s="27">
        <f t="shared" si="11"/>
        <v>9480880339376952</v>
      </c>
      <c r="Q54" s="21">
        <f t="shared" si="12"/>
        <v>2.032E-3</v>
      </c>
      <c r="R54" s="21">
        <v>1.94149580791897E-10</v>
      </c>
      <c r="S54" s="2">
        <v>0.32</v>
      </c>
      <c r="T54" s="27">
        <f t="shared" si="13"/>
        <v>132000</v>
      </c>
      <c r="U54" s="2">
        <v>5.36358238306597E-3</v>
      </c>
      <c r="V54" s="11">
        <v>0.11</v>
      </c>
      <c r="W54" s="30">
        <f t="shared" si="14"/>
        <v>111000.00000000001</v>
      </c>
      <c r="X54" s="30">
        <f t="shared" si="1"/>
        <v>43.432321782178228</v>
      </c>
      <c r="Y54" s="11">
        <f t="shared" si="15"/>
        <v>568.60704593296873</v>
      </c>
      <c r="Z54" s="27">
        <f t="shared" si="16"/>
        <v>6.7280258235102949E-14</v>
      </c>
      <c r="AA54" s="27">
        <f t="shared" si="17"/>
        <v>40516171509.179001</v>
      </c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</row>
    <row r="55" spans="1:78" s="4" customFormat="1" x14ac:dyDescent="0.3">
      <c r="A55" s="26">
        <v>159</v>
      </c>
      <c r="B55" s="1">
        <f t="shared" si="2"/>
        <v>9540</v>
      </c>
      <c r="C55" s="26">
        <f t="shared" si="3"/>
        <v>2.65</v>
      </c>
      <c r="D55" s="26">
        <v>20</v>
      </c>
      <c r="E55" s="26">
        <f t="shared" si="0"/>
        <v>29.146000000000001</v>
      </c>
      <c r="F55" s="26">
        <f t="shared" si="4"/>
        <v>4.8576666666666667E-7</v>
      </c>
      <c r="G55" s="26">
        <v>21.1</v>
      </c>
      <c r="H55" s="26">
        <f t="shared" si="5"/>
        <v>294.10000000000002</v>
      </c>
      <c r="I55" s="26">
        <v>101.3</v>
      </c>
      <c r="J55" s="26">
        <f t="shared" si="6"/>
        <v>101300</v>
      </c>
      <c r="K55" s="26">
        <f t="shared" si="7"/>
        <v>2.0124824921938581E-5</v>
      </c>
      <c r="L55" s="28">
        <v>403.60891089108918</v>
      </c>
      <c r="M55" s="27">
        <f t="shared" si="8"/>
        <v>4.0360891089108919E-4</v>
      </c>
      <c r="N55" s="29">
        <f t="shared" si="9"/>
        <v>4.7762865441819992E-3</v>
      </c>
      <c r="O55" s="27">
        <f t="shared" si="10"/>
        <v>1.7006012083826042E-6</v>
      </c>
      <c r="P55" s="27">
        <f t="shared" si="11"/>
        <v>9779560637015444</v>
      </c>
      <c r="Q55" s="21">
        <f t="shared" si="12"/>
        <v>2.032E-3</v>
      </c>
      <c r="R55" s="21">
        <v>1.94149580791897E-10</v>
      </c>
      <c r="S55" s="2">
        <v>0.32</v>
      </c>
      <c r="T55" s="27">
        <f t="shared" si="13"/>
        <v>132000</v>
      </c>
      <c r="U55" s="2">
        <v>5.36358238306597E-3</v>
      </c>
      <c r="V55" s="11">
        <v>0.11</v>
      </c>
      <c r="W55" s="30">
        <f t="shared" si="14"/>
        <v>111000.00000000001</v>
      </c>
      <c r="X55" s="30">
        <f t="shared" si="1"/>
        <v>44.800589108910906</v>
      </c>
      <c r="Y55" s="11">
        <f t="shared" si="15"/>
        <v>599.86215480959618</v>
      </c>
      <c r="Z55" s="27">
        <f t="shared" si="16"/>
        <v>6.9416325062367502E-14</v>
      </c>
      <c r="AA55" s="27">
        <f t="shared" si="17"/>
        <v>41802510952.557709</v>
      </c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</row>
    <row r="56" spans="1:78" s="4" customFormat="1" x14ac:dyDescent="0.3">
      <c r="A56" s="26">
        <v>162</v>
      </c>
      <c r="B56" s="1">
        <f t="shared" si="2"/>
        <v>9720</v>
      </c>
      <c r="C56" s="26">
        <f t="shared" si="3"/>
        <v>2.7</v>
      </c>
      <c r="D56" s="26">
        <v>20</v>
      </c>
      <c r="E56" s="26">
        <f t="shared" si="0"/>
        <v>29.146000000000001</v>
      </c>
      <c r="F56" s="26">
        <f t="shared" si="4"/>
        <v>4.8576666666666667E-7</v>
      </c>
      <c r="G56" s="26">
        <v>21.1</v>
      </c>
      <c r="H56" s="26">
        <f t="shared" si="5"/>
        <v>294.10000000000002</v>
      </c>
      <c r="I56" s="26">
        <v>101.3</v>
      </c>
      <c r="J56" s="26">
        <f t="shared" si="6"/>
        <v>101300</v>
      </c>
      <c r="K56" s="26">
        <f t="shared" si="7"/>
        <v>2.0124824921938581E-5</v>
      </c>
      <c r="L56" s="28">
        <v>396.65346534653463</v>
      </c>
      <c r="M56" s="27">
        <f t="shared" si="8"/>
        <v>3.9665346534653465E-4</v>
      </c>
      <c r="N56" s="29">
        <f t="shared" si="9"/>
        <v>4.7762865441819992E-3</v>
      </c>
      <c r="O56" s="27">
        <f t="shared" si="10"/>
        <v>1.6712945236719173E-6</v>
      </c>
      <c r="P56" s="27">
        <f t="shared" si="11"/>
        <v>9611028179914206</v>
      </c>
      <c r="Q56" s="21">
        <f t="shared" si="12"/>
        <v>2.032E-3</v>
      </c>
      <c r="R56" s="21">
        <v>1.94149580791897E-10</v>
      </c>
      <c r="S56" s="2">
        <v>0.32</v>
      </c>
      <c r="T56" s="27">
        <f t="shared" si="13"/>
        <v>132000</v>
      </c>
      <c r="U56" s="2">
        <v>5.36358238306597E-3</v>
      </c>
      <c r="V56" s="11">
        <v>0.11</v>
      </c>
      <c r="W56" s="30">
        <f t="shared" si="14"/>
        <v>111000.00000000001</v>
      </c>
      <c r="X56" s="30">
        <f t="shared" si="1"/>
        <v>44.02853465346535</v>
      </c>
      <c r="Y56" s="11">
        <f t="shared" si="15"/>
        <v>582.13292867337543</v>
      </c>
      <c r="Z56" s="27">
        <f t="shared" si="16"/>
        <v>6.8210861002759066E-14</v>
      </c>
      <c r="AA56" s="27">
        <f t="shared" si="17"/>
        <v>41076580495.861511</v>
      </c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</row>
    <row r="57" spans="1:78" s="4" customFormat="1" x14ac:dyDescent="0.3">
      <c r="A57" s="26">
        <v>165</v>
      </c>
      <c r="B57" s="1">
        <f t="shared" si="2"/>
        <v>9900</v>
      </c>
      <c r="C57" s="26">
        <f t="shared" si="3"/>
        <v>2.75</v>
      </c>
      <c r="D57" s="26">
        <v>20</v>
      </c>
      <c r="E57" s="26">
        <f t="shared" si="0"/>
        <v>29.146000000000001</v>
      </c>
      <c r="F57" s="26">
        <f t="shared" si="4"/>
        <v>4.8576666666666667E-7</v>
      </c>
      <c r="G57" s="26">
        <v>21.1</v>
      </c>
      <c r="H57" s="26">
        <f t="shared" si="5"/>
        <v>294.10000000000002</v>
      </c>
      <c r="I57" s="26">
        <v>101.3</v>
      </c>
      <c r="J57" s="26">
        <f t="shared" si="6"/>
        <v>101300</v>
      </c>
      <c r="K57" s="26">
        <f t="shared" si="7"/>
        <v>2.0124824921938581E-5</v>
      </c>
      <c r="L57" s="28">
        <v>402.04950495049502</v>
      </c>
      <c r="M57" s="27">
        <f t="shared" si="8"/>
        <v>4.0204950495049502E-4</v>
      </c>
      <c r="N57" s="29">
        <f t="shared" si="9"/>
        <v>4.7762865441819992E-3</v>
      </c>
      <c r="O57" s="27">
        <f t="shared" si="10"/>
        <v>1.694030670529318E-6</v>
      </c>
      <c r="P57" s="27">
        <f t="shared" si="11"/>
        <v>9741775780085272</v>
      </c>
      <c r="Q57" s="21">
        <f t="shared" si="12"/>
        <v>2.032E-3</v>
      </c>
      <c r="R57" s="21">
        <v>1.94149580791897E-10</v>
      </c>
      <c r="S57" s="2">
        <v>0.32</v>
      </c>
      <c r="T57" s="27">
        <f t="shared" si="13"/>
        <v>132000</v>
      </c>
      <c r="U57" s="2">
        <v>5.36358238306597E-3</v>
      </c>
      <c r="V57" s="11">
        <v>0.11</v>
      </c>
      <c r="W57" s="30">
        <f t="shared" si="14"/>
        <v>111000.00000000001</v>
      </c>
      <c r="X57" s="30">
        <f t="shared" si="1"/>
        <v>44.627495049504951</v>
      </c>
      <c r="Y57" s="11">
        <f t="shared" si="15"/>
        <v>595.86627912330175</v>
      </c>
      <c r="Z57" s="27">
        <f t="shared" si="16"/>
        <v>6.9146021540880502E-14</v>
      </c>
      <c r="AA57" s="27">
        <f t="shared" si="17"/>
        <v>41639734171.918243</v>
      </c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</row>
    <row r="58" spans="1:78" s="4" customFormat="1" x14ac:dyDescent="0.3">
      <c r="A58" s="26">
        <v>168</v>
      </c>
      <c r="B58" s="1">
        <f t="shared" si="2"/>
        <v>10080</v>
      </c>
      <c r="C58" s="26">
        <f t="shared" si="3"/>
        <v>2.8</v>
      </c>
      <c r="D58" s="26">
        <v>20</v>
      </c>
      <c r="E58" s="26">
        <f t="shared" si="0"/>
        <v>29.146000000000001</v>
      </c>
      <c r="F58" s="26">
        <f t="shared" si="4"/>
        <v>4.8576666666666667E-7</v>
      </c>
      <c r="G58" s="26">
        <v>21.1</v>
      </c>
      <c r="H58" s="26">
        <f t="shared" si="5"/>
        <v>294.10000000000002</v>
      </c>
      <c r="I58" s="26">
        <v>101.3</v>
      </c>
      <c r="J58" s="26">
        <f t="shared" si="6"/>
        <v>101300</v>
      </c>
      <c r="K58" s="26">
        <f t="shared" si="7"/>
        <v>2.0124824921938581E-5</v>
      </c>
      <c r="L58" s="28">
        <v>406.18316831683171</v>
      </c>
      <c r="M58" s="27">
        <f t="shared" si="8"/>
        <v>4.0618316831683173E-4</v>
      </c>
      <c r="N58" s="29">
        <f t="shared" si="9"/>
        <v>4.7762865441819992E-3</v>
      </c>
      <c r="O58" s="27">
        <f t="shared" si="10"/>
        <v>1.7114478105531073E-6</v>
      </c>
      <c r="P58" s="27">
        <f t="shared" si="11"/>
        <v>9841935638931916</v>
      </c>
      <c r="Q58" s="21">
        <f t="shared" si="12"/>
        <v>2.032E-3</v>
      </c>
      <c r="R58" s="21">
        <v>1.94149580791897E-10</v>
      </c>
      <c r="S58" s="2">
        <v>0.32</v>
      </c>
      <c r="T58" s="27">
        <f t="shared" si="13"/>
        <v>132000</v>
      </c>
      <c r="U58" s="2">
        <v>5.36358238306597E-3</v>
      </c>
      <c r="V58" s="11">
        <v>0.11</v>
      </c>
      <c r="W58" s="30">
        <f t="shared" si="14"/>
        <v>111000.00000000001</v>
      </c>
      <c r="X58" s="30">
        <f t="shared" si="1"/>
        <v>45.086331683168325</v>
      </c>
      <c r="Y58" s="11">
        <f t="shared" si="15"/>
        <v>606.48504919595064</v>
      </c>
      <c r="Z58" s="27">
        <f t="shared" si="16"/>
        <v>6.9862590476070506E-14</v>
      </c>
      <c r="AA58" s="27">
        <f t="shared" si="17"/>
        <v>42071251984.689659</v>
      </c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</row>
    <row r="59" spans="1:78" s="4" customFormat="1" x14ac:dyDescent="0.3">
      <c r="A59" s="26">
        <v>171</v>
      </c>
      <c r="B59" s="1">
        <f t="shared" si="2"/>
        <v>10260</v>
      </c>
      <c r="C59" s="26">
        <f t="shared" si="3"/>
        <v>2.85</v>
      </c>
      <c r="D59" s="26">
        <v>20</v>
      </c>
      <c r="E59" s="26">
        <f t="shared" si="0"/>
        <v>29.146000000000001</v>
      </c>
      <c r="F59" s="26">
        <f t="shared" si="4"/>
        <v>4.8576666666666667E-7</v>
      </c>
      <c r="G59" s="26">
        <v>21.1</v>
      </c>
      <c r="H59" s="26">
        <f t="shared" si="5"/>
        <v>294.10000000000002</v>
      </c>
      <c r="I59" s="26">
        <v>101.3</v>
      </c>
      <c r="J59" s="26">
        <f t="shared" si="6"/>
        <v>101300</v>
      </c>
      <c r="K59" s="26">
        <f t="shared" si="7"/>
        <v>2.0124824921938581E-5</v>
      </c>
      <c r="L59" s="28">
        <v>395.61386138613864</v>
      </c>
      <c r="M59" s="27">
        <f t="shared" si="8"/>
        <v>3.9561386138613864E-4</v>
      </c>
      <c r="N59" s="29">
        <f t="shared" si="9"/>
        <v>4.7762865441819992E-3</v>
      </c>
      <c r="O59" s="27">
        <f t="shared" si="10"/>
        <v>1.6669141651030603E-6</v>
      </c>
      <c r="P59" s="27">
        <f t="shared" si="11"/>
        <v>9585838275294094</v>
      </c>
      <c r="Q59" s="21">
        <f t="shared" si="12"/>
        <v>2.032E-3</v>
      </c>
      <c r="R59" s="21">
        <v>1.94149580791897E-10</v>
      </c>
      <c r="S59" s="2">
        <v>0.32</v>
      </c>
      <c r="T59" s="27">
        <f t="shared" si="13"/>
        <v>132000</v>
      </c>
      <c r="U59" s="2">
        <v>5.36358238306597E-3</v>
      </c>
      <c r="V59" s="11">
        <v>0.11</v>
      </c>
      <c r="W59" s="30">
        <f t="shared" si="14"/>
        <v>111000.00000000001</v>
      </c>
      <c r="X59" s="30">
        <f t="shared" si="1"/>
        <v>43.913138613861392</v>
      </c>
      <c r="Y59" s="11">
        <f t="shared" si="15"/>
        <v>579.50376003251995</v>
      </c>
      <c r="Z59" s="27">
        <f t="shared" si="16"/>
        <v>6.8030723561602855E-14</v>
      </c>
      <c r="AA59" s="27">
        <f t="shared" si="17"/>
        <v>40968101728.797241</v>
      </c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</row>
    <row r="60" spans="1:78" s="4" customFormat="1" x14ac:dyDescent="0.3">
      <c r="A60" s="26">
        <v>174</v>
      </c>
      <c r="B60" s="1">
        <f t="shared" si="2"/>
        <v>10440</v>
      </c>
      <c r="C60" s="26">
        <f t="shared" si="3"/>
        <v>2.9</v>
      </c>
      <c r="D60" s="26">
        <v>20</v>
      </c>
      <c r="E60" s="26">
        <f t="shared" si="0"/>
        <v>29.146000000000001</v>
      </c>
      <c r="F60" s="26">
        <f t="shared" si="4"/>
        <v>4.8576666666666667E-7</v>
      </c>
      <c r="G60" s="26">
        <v>21.1</v>
      </c>
      <c r="H60" s="26">
        <f t="shared" si="5"/>
        <v>294.10000000000002</v>
      </c>
      <c r="I60" s="26">
        <v>101.3</v>
      </c>
      <c r="J60" s="26">
        <f t="shared" si="6"/>
        <v>101300</v>
      </c>
      <c r="K60" s="26">
        <f t="shared" si="7"/>
        <v>2.0124824921938581E-5</v>
      </c>
      <c r="L60" s="28">
        <v>398.88118811881185</v>
      </c>
      <c r="M60" s="27">
        <f t="shared" si="8"/>
        <v>3.9888118811881183E-4</v>
      </c>
      <c r="N60" s="29">
        <f t="shared" si="9"/>
        <v>4.7762865441819992E-3</v>
      </c>
      <c r="O60" s="27">
        <f t="shared" si="10"/>
        <v>1.680681006319468E-6</v>
      </c>
      <c r="P60" s="27">
        <f t="shared" si="11"/>
        <v>9665006546957306</v>
      </c>
      <c r="Q60" s="21">
        <f t="shared" si="12"/>
        <v>2.032E-3</v>
      </c>
      <c r="R60" s="21">
        <v>1.94149580791897E-10</v>
      </c>
      <c r="S60" s="2">
        <v>0.32</v>
      </c>
      <c r="T60" s="27">
        <f t="shared" si="13"/>
        <v>132000</v>
      </c>
      <c r="U60" s="2">
        <v>5.36358238306597E-3</v>
      </c>
      <c r="V60" s="11">
        <v>0.11</v>
      </c>
      <c r="W60" s="30">
        <f t="shared" si="14"/>
        <v>111000.00000000001</v>
      </c>
      <c r="X60" s="30">
        <f t="shared" si="1"/>
        <v>44.275811881188119</v>
      </c>
      <c r="Y60" s="11">
        <f t="shared" si="15"/>
        <v>587.78504169817427</v>
      </c>
      <c r="Z60" s="27">
        <f t="shared" si="16"/>
        <v>6.8596903567214431E-14</v>
      </c>
      <c r="AA60" s="27">
        <f t="shared" si="17"/>
        <v>41309055328.176529</v>
      </c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</row>
    <row r="61" spans="1:78" s="4" customFormat="1" x14ac:dyDescent="0.3">
      <c r="A61" s="26">
        <v>177</v>
      </c>
      <c r="B61" s="1">
        <f t="shared" si="2"/>
        <v>10620</v>
      </c>
      <c r="C61" s="26">
        <f t="shared" si="3"/>
        <v>2.95</v>
      </c>
      <c r="D61" s="26">
        <v>20</v>
      </c>
      <c r="E61" s="26">
        <f t="shared" si="0"/>
        <v>29.146000000000001</v>
      </c>
      <c r="F61" s="26">
        <f t="shared" si="4"/>
        <v>4.8576666666666667E-7</v>
      </c>
      <c r="G61" s="26">
        <v>21.1</v>
      </c>
      <c r="H61" s="26">
        <f t="shared" si="5"/>
        <v>294.10000000000002</v>
      </c>
      <c r="I61" s="26">
        <v>101.3</v>
      </c>
      <c r="J61" s="26">
        <f t="shared" si="6"/>
        <v>101300</v>
      </c>
      <c r="K61" s="26">
        <f t="shared" si="7"/>
        <v>2.0124824921938581E-5</v>
      </c>
      <c r="L61" s="28">
        <v>401.50495049504951</v>
      </c>
      <c r="M61" s="27">
        <f t="shared" si="8"/>
        <v>4.0150495049504954E-4</v>
      </c>
      <c r="N61" s="29">
        <f t="shared" si="9"/>
        <v>4.7762865441819992E-3</v>
      </c>
      <c r="O61" s="27">
        <f t="shared" si="10"/>
        <v>1.6917361969932504E-6</v>
      </c>
      <c r="P61" s="27">
        <f t="shared" si="11"/>
        <v>9728581068141404</v>
      </c>
      <c r="Q61" s="21">
        <f t="shared" si="12"/>
        <v>2.032E-3</v>
      </c>
      <c r="R61" s="21">
        <v>1.94149580791897E-10</v>
      </c>
      <c r="S61" s="2">
        <v>0.32</v>
      </c>
      <c r="T61" s="27">
        <f t="shared" si="13"/>
        <v>132000</v>
      </c>
      <c r="U61" s="2">
        <v>5.36358238306597E-3</v>
      </c>
      <c r="V61" s="11">
        <v>0.11</v>
      </c>
      <c r="W61" s="30">
        <f t="shared" si="14"/>
        <v>111000.00000000001</v>
      </c>
      <c r="X61" s="30">
        <f t="shared" si="1"/>
        <v>44.567049504950504</v>
      </c>
      <c r="Y61" s="11">
        <f t="shared" si="15"/>
        <v>594.47375144756427</v>
      </c>
      <c r="Z61" s="27">
        <f t="shared" si="16"/>
        <v>6.9051635209200165E-14</v>
      </c>
      <c r="AA61" s="27">
        <f t="shared" si="17"/>
        <v>41582894722.980339</v>
      </c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</row>
    <row r="62" spans="1:78" s="4" customFormat="1" x14ac:dyDescent="0.3">
      <c r="A62" s="26">
        <v>180</v>
      </c>
      <c r="B62" s="1">
        <f t="shared" si="2"/>
        <v>10800</v>
      </c>
      <c r="C62" s="26">
        <f t="shared" si="3"/>
        <v>3</v>
      </c>
      <c r="D62" s="26">
        <v>20</v>
      </c>
      <c r="E62" s="26">
        <f t="shared" si="0"/>
        <v>29.146000000000001</v>
      </c>
      <c r="F62" s="26">
        <f t="shared" si="4"/>
        <v>4.8576666666666667E-7</v>
      </c>
      <c r="G62" s="26">
        <v>21.1</v>
      </c>
      <c r="H62" s="26">
        <f t="shared" si="5"/>
        <v>294.10000000000002</v>
      </c>
      <c r="I62" s="26">
        <v>101.3</v>
      </c>
      <c r="J62" s="26">
        <f t="shared" si="6"/>
        <v>101300</v>
      </c>
      <c r="K62" s="26">
        <f t="shared" si="7"/>
        <v>2.0124824921938581E-5</v>
      </c>
      <c r="L62" s="28">
        <v>395.63861386138615</v>
      </c>
      <c r="M62" s="27">
        <f t="shared" si="8"/>
        <v>3.9563861386138617E-4</v>
      </c>
      <c r="N62" s="29">
        <f t="shared" si="9"/>
        <v>4.7762865441819992E-3</v>
      </c>
      <c r="O62" s="27">
        <f t="shared" si="10"/>
        <v>1.6670184593546997E-6</v>
      </c>
      <c r="P62" s="27">
        <f t="shared" si="11"/>
        <v>9586438034927906</v>
      </c>
      <c r="Q62" s="21">
        <f t="shared" si="12"/>
        <v>2.032E-3</v>
      </c>
      <c r="R62" s="21">
        <v>1.94149580791897E-10</v>
      </c>
      <c r="S62" s="2">
        <v>0.32</v>
      </c>
      <c r="T62" s="27">
        <f t="shared" si="13"/>
        <v>132000</v>
      </c>
      <c r="U62" s="2">
        <v>5.36358238306597E-3</v>
      </c>
      <c r="V62" s="11">
        <v>0.11</v>
      </c>
      <c r="W62" s="30">
        <f t="shared" si="14"/>
        <v>111000.00000000001</v>
      </c>
      <c r="X62" s="30">
        <f t="shared" si="1"/>
        <v>43.915886138613871</v>
      </c>
      <c r="Y62" s="11">
        <f t="shared" si="15"/>
        <v>579.56629652374647</v>
      </c>
      <c r="Z62" s="27">
        <f t="shared" si="16"/>
        <v>6.8035012432044156E-14</v>
      </c>
      <c r="AA62" s="27">
        <f t="shared" si="17"/>
        <v>40970684486.576996</v>
      </c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</row>
    <row r="63" spans="1:78" s="4" customFormat="1" x14ac:dyDescent="0.3">
      <c r="A63" s="26">
        <v>183</v>
      </c>
      <c r="B63" s="1">
        <f t="shared" si="2"/>
        <v>10980</v>
      </c>
      <c r="C63" s="26">
        <f t="shared" si="3"/>
        <v>3.05</v>
      </c>
      <c r="D63" s="26">
        <v>20</v>
      </c>
      <c r="E63" s="26">
        <f t="shared" si="0"/>
        <v>29.146000000000001</v>
      </c>
      <c r="F63" s="26">
        <f t="shared" si="4"/>
        <v>4.8576666666666667E-7</v>
      </c>
      <c r="G63" s="26">
        <v>21.1</v>
      </c>
      <c r="H63" s="26">
        <f t="shared" si="5"/>
        <v>294.10000000000002</v>
      </c>
      <c r="I63" s="26">
        <v>101.3</v>
      </c>
      <c r="J63" s="26">
        <f t="shared" si="6"/>
        <v>101300</v>
      </c>
      <c r="K63" s="26">
        <f t="shared" si="7"/>
        <v>2.0124824921938581E-5</v>
      </c>
      <c r="L63" s="28">
        <v>399.84653465346537</v>
      </c>
      <c r="M63" s="27">
        <f t="shared" si="8"/>
        <v>3.9984653465346536E-4</v>
      </c>
      <c r="N63" s="29">
        <f t="shared" si="9"/>
        <v>4.7762865441819992E-3</v>
      </c>
      <c r="O63" s="27">
        <f t="shared" si="10"/>
        <v>1.6847484821334069E-6</v>
      </c>
      <c r="P63" s="27">
        <f t="shared" si="11"/>
        <v>9688397172675984</v>
      </c>
      <c r="Q63" s="21">
        <f t="shared" si="12"/>
        <v>2.032E-3</v>
      </c>
      <c r="R63" s="21">
        <v>1.94149580791897E-10</v>
      </c>
      <c r="S63" s="2">
        <v>0.32</v>
      </c>
      <c r="T63" s="27">
        <f t="shared" si="13"/>
        <v>132000</v>
      </c>
      <c r="U63" s="2">
        <v>5.36358238306597E-3</v>
      </c>
      <c r="V63" s="11">
        <v>0.11</v>
      </c>
      <c r="W63" s="30">
        <f t="shared" si="14"/>
        <v>111000.00000000001</v>
      </c>
      <c r="X63" s="30">
        <f t="shared" si="1"/>
        <v>44.382965346534661</v>
      </c>
      <c r="Y63" s="11">
        <f t="shared" si="15"/>
        <v>590.24198670393241</v>
      </c>
      <c r="Z63" s="27">
        <f t="shared" si="16"/>
        <v>6.8764203018725446E-14</v>
      </c>
      <c r="AA63" s="27">
        <f t="shared" si="17"/>
        <v>41409803057.876465</v>
      </c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</row>
    <row r="64" spans="1:78" s="4" customFormat="1" x14ac:dyDescent="0.3">
      <c r="A64" s="26">
        <v>186</v>
      </c>
      <c r="B64" s="1">
        <f t="shared" si="2"/>
        <v>11160</v>
      </c>
      <c r="C64" s="26">
        <f t="shared" si="3"/>
        <v>3.1</v>
      </c>
      <c r="D64" s="26">
        <v>20</v>
      </c>
      <c r="E64" s="26">
        <f t="shared" si="0"/>
        <v>29.146000000000001</v>
      </c>
      <c r="F64" s="26">
        <f t="shared" si="4"/>
        <v>4.8576666666666667E-7</v>
      </c>
      <c r="G64" s="26">
        <v>21.1</v>
      </c>
      <c r="H64" s="26">
        <f t="shared" si="5"/>
        <v>294.10000000000002</v>
      </c>
      <c r="I64" s="26">
        <v>101.3</v>
      </c>
      <c r="J64" s="26">
        <f t="shared" si="6"/>
        <v>101300</v>
      </c>
      <c r="K64" s="26">
        <f t="shared" si="7"/>
        <v>2.0124824921938581E-5</v>
      </c>
      <c r="L64" s="28">
        <v>402.51980198019805</v>
      </c>
      <c r="M64" s="27">
        <f t="shared" si="8"/>
        <v>4.0251980198019807E-4</v>
      </c>
      <c r="N64" s="29">
        <f t="shared" si="9"/>
        <v>4.7762865441819992E-3</v>
      </c>
      <c r="O64" s="27">
        <f t="shared" si="10"/>
        <v>1.6960122613104679E-6</v>
      </c>
      <c r="P64" s="27">
        <f t="shared" si="11"/>
        <v>9753171213127706</v>
      </c>
      <c r="Q64" s="21">
        <f t="shared" si="12"/>
        <v>2.032E-3</v>
      </c>
      <c r="R64" s="21">
        <v>1.94149580791897E-10</v>
      </c>
      <c r="S64" s="2">
        <v>0.32</v>
      </c>
      <c r="T64" s="27">
        <f t="shared" si="13"/>
        <v>132000</v>
      </c>
      <c r="U64" s="2">
        <v>5.36358238306597E-3</v>
      </c>
      <c r="V64" s="11">
        <v>0.11</v>
      </c>
      <c r="W64" s="30">
        <f t="shared" si="14"/>
        <v>111000.00000000001</v>
      </c>
      <c r="X64" s="30">
        <f t="shared" si="1"/>
        <v>44.67969801980199</v>
      </c>
      <c r="Y64" s="11">
        <f t="shared" si="15"/>
        <v>597.07010714358296</v>
      </c>
      <c r="Z64" s="27">
        <f t="shared" si="16"/>
        <v>6.9227539246240477E-14</v>
      </c>
      <c r="AA64" s="27">
        <f t="shared" si="17"/>
        <v>41688824134.086014</v>
      </c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</row>
    <row r="65" spans="1:78" s="4" customFormat="1" x14ac:dyDescent="0.3">
      <c r="A65" s="26">
        <v>189</v>
      </c>
      <c r="B65" s="1">
        <f t="shared" si="2"/>
        <v>11340</v>
      </c>
      <c r="C65" s="26">
        <f t="shared" si="3"/>
        <v>3.15</v>
      </c>
      <c r="D65" s="26">
        <v>20</v>
      </c>
      <c r="E65" s="26">
        <f t="shared" si="0"/>
        <v>29.146000000000001</v>
      </c>
      <c r="F65" s="26">
        <f t="shared" si="4"/>
        <v>4.8576666666666667E-7</v>
      </c>
      <c r="G65" s="26">
        <v>21.1</v>
      </c>
      <c r="H65" s="26">
        <f t="shared" si="5"/>
        <v>294.10000000000002</v>
      </c>
      <c r="I65" s="26">
        <v>101.3</v>
      </c>
      <c r="J65" s="26">
        <f t="shared" si="6"/>
        <v>101300</v>
      </c>
      <c r="K65" s="26">
        <f t="shared" si="7"/>
        <v>2.0124824921938581E-5</v>
      </c>
      <c r="L65" s="28">
        <v>412.17326732673274</v>
      </c>
      <c r="M65" s="27">
        <f t="shared" si="8"/>
        <v>4.1217326732673274E-4</v>
      </c>
      <c r="N65" s="29">
        <f t="shared" si="9"/>
        <v>4.7762865441819992E-3</v>
      </c>
      <c r="O65" s="27">
        <f t="shared" si="10"/>
        <v>1.7366870194498548E-6</v>
      </c>
      <c r="P65" s="27">
        <f t="shared" si="11"/>
        <v>9987077470314474</v>
      </c>
      <c r="Q65" s="21">
        <f t="shared" si="12"/>
        <v>2.032E-3</v>
      </c>
      <c r="R65" s="21">
        <v>1.94149580791897E-10</v>
      </c>
      <c r="S65" s="2">
        <v>0.32</v>
      </c>
      <c r="T65" s="27">
        <f t="shared" si="13"/>
        <v>132000</v>
      </c>
      <c r="U65" s="2">
        <v>5.36358238306597E-3</v>
      </c>
      <c r="V65" s="11">
        <v>0.11</v>
      </c>
      <c r="W65" s="30">
        <f t="shared" si="14"/>
        <v>111000.00000000001</v>
      </c>
      <c r="X65" s="30">
        <f t="shared" si="1"/>
        <v>45.751232673267339</v>
      </c>
      <c r="Y65" s="11">
        <f t="shared" si="15"/>
        <v>622.02379204070974</v>
      </c>
      <c r="Z65" s="27">
        <f t="shared" si="16"/>
        <v>7.0901258881290835E-14</v>
      </c>
      <c r="AA65" s="27">
        <f t="shared" si="17"/>
        <v>42696738098.313339</v>
      </c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</row>
    <row r="66" spans="1:78" s="4" customFormat="1" x14ac:dyDescent="0.3">
      <c r="A66" s="26">
        <v>192</v>
      </c>
      <c r="B66" s="1">
        <f t="shared" si="2"/>
        <v>11520</v>
      </c>
      <c r="C66" s="26">
        <f t="shared" si="3"/>
        <v>3.2</v>
      </c>
      <c r="D66" s="26">
        <v>20</v>
      </c>
      <c r="E66" s="26">
        <f t="shared" ref="E66:E125" si="18">(D66*1.4573)</f>
        <v>29.146000000000001</v>
      </c>
      <c r="F66" s="26">
        <f t="shared" si="4"/>
        <v>4.8576666666666667E-7</v>
      </c>
      <c r="G66" s="26">
        <v>21.1</v>
      </c>
      <c r="H66" s="26">
        <f t="shared" si="5"/>
        <v>294.10000000000002</v>
      </c>
      <c r="I66" s="26">
        <v>101.3</v>
      </c>
      <c r="J66" s="26">
        <f t="shared" si="6"/>
        <v>101300</v>
      </c>
      <c r="K66" s="26">
        <f t="shared" si="7"/>
        <v>2.0124824921938581E-5</v>
      </c>
      <c r="L66" s="28">
        <v>404.94554455445547</v>
      </c>
      <c r="M66" s="27">
        <f t="shared" si="8"/>
        <v>4.0494554455445549E-4</v>
      </c>
      <c r="N66" s="29">
        <f t="shared" si="9"/>
        <v>4.7762865441819992E-3</v>
      </c>
      <c r="O66" s="27">
        <f t="shared" si="10"/>
        <v>1.7062330979711345E-6</v>
      </c>
      <c r="P66" s="27">
        <f t="shared" si="11"/>
        <v>9811947657241304</v>
      </c>
      <c r="Q66" s="21">
        <f t="shared" si="12"/>
        <v>2.032E-3</v>
      </c>
      <c r="R66" s="21">
        <v>1.94149580791897E-10</v>
      </c>
      <c r="S66" s="2">
        <v>0.32</v>
      </c>
      <c r="T66" s="27">
        <f t="shared" si="13"/>
        <v>132000</v>
      </c>
      <c r="U66" s="2">
        <v>5.36358238306597E-3</v>
      </c>
      <c r="V66" s="11">
        <v>0.11</v>
      </c>
      <c r="W66" s="30">
        <f t="shared" si="14"/>
        <v>111000.00000000001</v>
      </c>
      <c r="X66" s="30">
        <f t="shared" ref="X66:X125" si="19">(M66*W66)</f>
        <v>44.948955445544563</v>
      </c>
      <c r="Y66" s="11">
        <f t="shared" si="15"/>
        <v>603.29684241386769</v>
      </c>
      <c r="Z66" s="27">
        <f t="shared" si="16"/>
        <v>6.9648031995951124E-14</v>
      </c>
      <c r="AA66" s="27">
        <f t="shared" si="17"/>
        <v>41942044867.961769</v>
      </c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</row>
    <row r="67" spans="1:78" s="4" customFormat="1" x14ac:dyDescent="0.3">
      <c r="A67" s="26">
        <v>195</v>
      </c>
      <c r="B67" s="1">
        <f t="shared" ref="B67:B125" si="20">A67*60</f>
        <v>11700</v>
      </c>
      <c r="C67" s="26">
        <f t="shared" ref="C67:C125" si="21">(A67/60)</f>
        <v>3.25</v>
      </c>
      <c r="D67" s="26">
        <v>20</v>
      </c>
      <c r="E67" s="26">
        <f t="shared" si="18"/>
        <v>29.146000000000001</v>
      </c>
      <c r="F67" s="26">
        <f t="shared" ref="F67:F125" si="22">(E67/(1000000*60))</f>
        <v>4.8576666666666667E-7</v>
      </c>
      <c r="G67" s="26">
        <v>21.1</v>
      </c>
      <c r="H67" s="26">
        <f t="shared" ref="H67:H125" si="23">(273+G67)</f>
        <v>294.10000000000002</v>
      </c>
      <c r="I67" s="26">
        <v>101.3</v>
      </c>
      <c r="J67" s="26">
        <f t="shared" ref="J67:J125" si="24">(I67*1000)</f>
        <v>101300</v>
      </c>
      <c r="K67" s="26">
        <f t="shared" ref="K67:K125" si="25">((J67*F67)/(8.314*H67))</f>
        <v>2.0124824921938581E-5</v>
      </c>
      <c r="L67" s="28">
        <v>404.22772277227722</v>
      </c>
      <c r="M67" s="27">
        <f t="shared" ref="M67:M125" si="26">(L67/1000000)</f>
        <v>4.042277227722772E-4</v>
      </c>
      <c r="N67" s="29">
        <f t="shared" ref="N67:N125" si="27">(3.142*3.07*3.07*25.4*25.4)/(4*1000000)</f>
        <v>4.7762865441819992E-3</v>
      </c>
      <c r="O67" s="27">
        <f t="shared" ref="O67:O125" si="28">(M67*K67)/N67</f>
        <v>1.7032085646735898E-6</v>
      </c>
      <c r="P67" s="27">
        <f t="shared" ref="P67:P81" si="29">O67*N67*6.02*10^(23)*2</f>
        <v>9794554627860746</v>
      </c>
      <c r="Q67" s="21">
        <f t="shared" ref="Q67:Q125" si="30">(2.032/1000)</f>
        <v>2.032E-3</v>
      </c>
      <c r="R67" s="21">
        <v>1.94149580791897E-10</v>
      </c>
      <c r="S67" s="2">
        <v>0.32</v>
      </c>
      <c r="T67" s="27">
        <f t="shared" ref="T67:T125" si="31">(1+S67)*100000*1</f>
        <v>132000</v>
      </c>
      <c r="U67" s="2">
        <v>5.36358238306597E-3</v>
      </c>
      <c r="V67" s="11">
        <v>0.11</v>
      </c>
      <c r="W67" s="30">
        <f t="shared" ref="W67:W125" si="32">(1+V67)*100000</f>
        <v>111000.00000000001</v>
      </c>
      <c r="X67" s="30">
        <f t="shared" si="19"/>
        <v>44.869277227722776</v>
      </c>
      <c r="Y67" s="11">
        <f t="shared" ref="Y67:Y125" si="33">((O67*Q67/R67) + SQRT(X67))^2</f>
        <v>601.4511806774027</v>
      </c>
      <c r="Z67" s="27">
        <f t="shared" ref="Z67:Z125" si="34">(O67*U67)/(T67-Y67)</f>
        <v>6.9523594699144537E-14</v>
      </c>
      <c r="AA67" s="27">
        <f t="shared" ref="AA67:AA125" si="35">(Z67*6.022E+23)</f>
        <v>41867108727.824844</v>
      </c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</row>
    <row r="68" spans="1:78" s="4" customFormat="1" x14ac:dyDescent="0.3">
      <c r="A68" s="26">
        <v>198</v>
      </c>
      <c r="B68" s="1">
        <f t="shared" si="20"/>
        <v>11880</v>
      </c>
      <c r="C68" s="26">
        <f t="shared" si="21"/>
        <v>3.3</v>
      </c>
      <c r="D68" s="26">
        <v>20</v>
      </c>
      <c r="E68" s="26">
        <f t="shared" si="18"/>
        <v>29.146000000000001</v>
      </c>
      <c r="F68" s="26">
        <f t="shared" si="22"/>
        <v>4.8576666666666667E-7</v>
      </c>
      <c r="G68" s="26">
        <v>21.1</v>
      </c>
      <c r="H68" s="26">
        <f t="shared" si="23"/>
        <v>294.10000000000002</v>
      </c>
      <c r="I68" s="26">
        <v>101.3</v>
      </c>
      <c r="J68" s="26">
        <f t="shared" si="24"/>
        <v>101300</v>
      </c>
      <c r="K68" s="26">
        <f t="shared" si="25"/>
        <v>2.0124824921938581E-5</v>
      </c>
      <c r="L68" s="28">
        <v>402.32178217821786</v>
      </c>
      <c r="M68" s="27">
        <f t="shared" si="26"/>
        <v>4.0232178217821784E-4</v>
      </c>
      <c r="N68" s="29">
        <f t="shared" si="27"/>
        <v>4.7762865441819992E-3</v>
      </c>
      <c r="O68" s="27">
        <f t="shared" si="28"/>
        <v>1.6951779072973523E-6</v>
      </c>
      <c r="P68" s="27">
        <f t="shared" si="29"/>
        <v>9748373136057208</v>
      </c>
      <c r="Q68" s="21">
        <f t="shared" si="30"/>
        <v>2.032E-3</v>
      </c>
      <c r="R68" s="21">
        <v>1.94149580791897E-10</v>
      </c>
      <c r="S68" s="2">
        <v>0.32</v>
      </c>
      <c r="T68" s="27">
        <f t="shared" si="31"/>
        <v>132000</v>
      </c>
      <c r="U68" s="2">
        <v>5.36358238306597E-3</v>
      </c>
      <c r="V68" s="11">
        <v>0.11</v>
      </c>
      <c r="W68" s="30">
        <f t="shared" si="32"/>
        <v>111000.00000000001</v>
      </c>
      <c r="X68" s="30">
        <f t="shared" si="19"/>
        <v>44.657717821782185</v>
      </c>
      <c r="Y68" s="11">
        <f t="shared" si="33"/>
        <v>596.56309771448605</v>
      </c>
      <c r="Z68" s="27">
        <f t="shared" si="34"/>
        <v>6.9193215749021046E-14</v>
      </c>
      <c r="AA68" s="27">
        <f t="shared" si="35"/>
        <v>41668154524.060478</v>
      </c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</row>
    <row r="69" spans="1:78" s="4" customFormat="1" x14ac:dyDescent="0.3">
      <c r="A69" s="26">
        <v>201</v>
      </c>
      <c r="B69" s="1">
        <f t="shared" si="20"/>
        <v>12060</v>
      </c>
      <c r="C69" s="26">
        <f t="shared" si="21"/>
        <v>3.35</v>
      </c>
      <c r="D69" s="26">
        <v>20</v>
      </c>
      <c r="E69" s="26">
        <f t="shared" si="18"/>
        <v>29.146000000000001</v>
      </c>
      <c r="F69" s="26">
        <f t="shared" si="22"/>
        <v>4.8576666666666667E-7</v>
      </c>
      <c r="G69" s="26">
        <v>21.1</v>
      </c>
      <c r="H69" s="26">
        <f t="shared" si="23"/>
        <v>294.10000000000002</v>
      </c>
      <c r="I69" s="26">
        <v>101.3</v>
      </c>
      <c r="J69" s="26">
        <f t="shared" si="24"/>
        <v>101300</v>
      </c>
      <c r="K69" s="26">
        <f t="shared" si="25"/>
        <v>2.0124824921938581E-5</v>
      </c>
      <c r="L69" s="28">
        <v>408.90594059405942</v>
      </c>
      <c r="M69" s="27">
        <f t="shared" si="26"/>
        <v>4.0890594059405944E-4</v>
      </c>
      <c r="N69" s="29">
        <f t="shared" si="27"/>
        <v>4.7762865441819992E-3</v>
      </c>
      <c r="O69" s="27">
        <f t="shared" si="28"/>
        <v>1.7229201782334469E-6</v>
      </c>
      <c r="P69" s="27">
        <f t="shared" si="29"/>
        <v>9907909198651260</v>
      </c>
      <c r="Q69" s="21">
        <f t="shared" si="30"/>
        <v>2.032E-3</v>
      </c>
      <c r="R69" s="21">
        <v>1.94149580791897E-10</v>
      </c>
      <c r="S69" s="2">
        <v>0.32</v>
      </c>
      <c r="T69" s="27">
        <f t="shared" si="31"/>
        <v>132000</v>
      </c>
      <c r="U69" s="2">
        <v>5.36358238306597E-3</v>
      </c>
      <c r="V69" s="11">
        <v>0.11</v>
      </c>
      <c r="W69" s="30">
        <f t="shared" si="32"/>
        <v>111000.00000000001</v>
      </c>
      <c r="X69" s="30">
        <f t="shared" si="19"/>
        <v>45.388559405940605</v>
      </c>
      <c r="Y69" s="11">
        <f t="shared" si="33"/>
        <v>613.5259667660423</v>
      </c>
      <c r="Z69" s="27">
        <f t="shared" si="34"/>
        <v>7.0334670166004273E-14</v>
      </c>
      <c r="AA69" s="27">
        <f t="shared" si="35"/>
        <v>42355538373.967773</v>
      </c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</row>
    <row r="70" spans="1:78" s="4" customFormat="1" x14ac:dyDescent="0.3">
      <c r="A70" s="26">
        <v>204</v>
      </c>
      <c r="B70" s="1">
        <f t="shared" si="20"/>
        <v>12240</v>
      </c>
      <c r="C70" s="26">
        <f t="shared" si="21"/>
        <v>3.4</v>
      </c>
      <c r="D70" s="26">
        <v>20</v>
      </c>
      <c r="E70" s="26">
        <f t="shared" si="18"/>
        <v>29.146000000000001</v>
      </c>
      <c r="F70" s="26">
        <f t="shared" si="22"/>
        <v>4.8576666666666667E-7</v>
      </c>
      <c r="G70" s="26">
        <v>21.1</v>
      </c>
      <c r="H70" s="26">
        <f t="shared" si="23"/>
        <v>294.10000000000002</v>
      </c>
      <c r="I70" s="26">
        <v>101.3</v>
      </c>
      <c r="J70" s="26">
        <f t="shared" si="24"/>
        <v>101300</v>
      </c>
      <c r="K70" s="26">
        <f t="shared" si="25"/>
        <v>2.0124824921938581E-5</v>
      </c>
      <c r="L70" s="28">
        <v>415.73762376237624</v>
      </c>
      <c r="M70" s="27">
        <f t="shared" si="26"/>
        <v>4.1573762376237623E-4</v>
      </c>
      <c r="N70" s="29">
        <f t="shared" si="27"/>
        <v>4.7762865441819992E-3</v>
      </c>
      <c r="O70" s="27">
        <f t="shared" si="28"/>
        <v>1.751705391685936E-6</v>
      </c>
      <c r="P70" s="27">
        <f t="shared" si="29"/>
        <v>1.0073442857583434E+16</v>
      </c>
      <c r="Q70" s="21">
        <f t="shared" si="30"/>
        <v>2.032E-3</v>
      </c>
      <c r="R70" s="21">
        <v>1.94149580791897E-10</v>
      </c>
      <c r="S70" s="2">
        <v>0.32</v>
      </c>
      <c r="T70" s="27">
        <f t="shared" si="31"/>
        <v>132000</v>
      </c>
      <c r="U70" s="2">
        <v>5.36358238306597E-3</v>
      </c>
      <c r="V70" s="11">
        <v>0.11</v>
      </c>
      <c r="W70" s="30">
        <f t="shared" si="32"/>
        <v>111000.00000000001</v>
      </c>
      <c r="X70" s="30">
        <f t="shared" si="19"/>
        <v>46.146876237623765</v>
      </c>
      <c r="Y70" s="11">
        <f t="shared" si="33"/>
        <v>631.3547170893379</v>
      </c>
      <c r="Z70" s="27">
        <f t="shared" si="34"/>
        <v>7.151947223734202E-14</v>
      </c>
      <c r="AA70" s="27">
        <f t="shared" si="35"/>
        <v>43069026181.32737</v>
      </c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</row>
    <row r="71" spans="1:78" s="4" customFormat="1" x14ac:dyDescent="0.3">
      <c r="A71" s="26">
        <v>207</v>
      </c>
      <c r="B71" s="1">
        <f t="shared" si="20"/>
        <v>12420</v>
      </c>
      <c r="C71" s="26">
        <f t="shared" si="21"/>
        <v>3.45</v>
      </c>
      <c r="D71" s="26">
        <v>20</v>
      </c>
      <c r="E71" s="26">
        <f t="shared" si="18"/>
        <v>29.146000000000001</v>
      </c>
      <c r="F71" s="26">
        <f t="shared" si="22"/>
        <v>4.8576666666666667E-7</v>
      </c>
      <c r="G71" s="26">
        <v>21.1</v>
      </c>
      <c r="H71" s="26">
        <f t="shared" si="23"/>
        <v>294.10000000000002</v>
      </c>
      <c r="I71" s="26">
        <v>101.3</v>
      </c>
      <c r="J71" s="26">
        <f t="shared" si="24"/>
        <v>101300</v>
      </c>
      <c r="K71" s="26">
        <f t="shared" si="25"/>
        <v>2.0124824921938581E-5</v>
      </c>
      <c r="L71" s="28">
        <v>406.97524752475249</v>
      </c>
      <c r="M71" s="27">
        <f t="shared" si="26"/>
        <v>4.069752475247525E-4</v>
      </c>
      <c r="N71" s="29">
        <f t="shared" si="27"/>
        <v>4.7762865441819992E-3</v>
      </c>
      <c r="O71" s="27">
        <f t="shared" si="28"/>
        <v>1.7147852266055695E-6</v>
      </c>
      <c r="P71" s="27">
        <f t="shared" si="29"/>
        <v>9861127947213906</v>
      </c>
      <c r="Q71" s="21">
        <f t="shared" si="30"/>
        <v>2.032E-3</v>
      </c>
      <c r="R71" s="21">
        <v>1.94149580791897E-10</v>
      </c>
      <c r="S71" s="2">
        <v>0.32</v>
      </c>
      <c r="T71" s="27">
        <f t="shared" si="31"/>
        <v>132000</v>
      </c>
      <c r="U71" s="2">
        <v>5.36358238306597E-3</v>
      </c>
      <c r="V71" s="11">
        <v>0.11</v>
      </c>
      <c r="W71" s="30">
        <f t="shared" si="32"/>
        <v>111000.00000000001</v>
      </c>
      <c r="X71" s="30">
        <f t="shared" si="19"/>
        <v>45.174252475247535</v>
      </c>
      <c r="Y71" s="11">
        <f t="shared" si="33"/>
        <v>608.52950720821798</v>
      </c>
      <c r="Z71" s="27">
        <f t="shared" si="34"/>
        <v>6.9999915501881791E-14</v>
      </c>
      <c r="AA71" s="27">
        <f t="shared" si="35"/>
        <v>42153949115.233215</v>
      </c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</row>
    <row r="72" spans="1:78" s="4" customFormat="1" x14ac:dyDescent="0.3">
      <c r="A72" s="26">
        <v>210</v>
      </c>
      <c r="B72" s="1">
        <f t="shared" si="20"/>
        <v>12600</v>
      </c>
      <c r="C72" s="26">
        <f t="shared" si="21"/>
        <v>3.5</v>
      </c>
      <c r="D72" s="26">
        <v>20</v>
      </c>
      <c r="E72" s="26">
        <f t="shared" si="18"/>
        <v>29.146000000000001</v>
      </c>
      <c r="F72" s="26">
        <f t="shared" si="22"/>
        <v>4.8576666666666667E-7</v>
      </c>
      <c r="G72" s="26">
        <v>21.1</v>
      </c>
      <c r="H72" s="26">
        <f t="shared" si="23"/>
        <v>294.10000000000002</v>
      </c>
      <c r="I72" s="26">
        <v>101.3</v>
      </c>
      <c r="J72" s="26">
        <f t="shared" si="24"/>
        <v>101300</v>
      </c>
      <c r="K72" s="26">
        <f t="shared" si="25"/>
        <v>2.0124824921938581E-5</v>
      </c>
      <c r="L72" s="28">
        <v>410.83663366336634</v>
      </c>
      <c r="M72" s="27">
        <f t="shared" si="26"/>
        <v>4.1083663366336633E-4</v>
      </c>
      <c r="N72" s="29">
        <f t="shared" si="27"/>
        <v>4.7762865441819992E-3</v>
      </c>
      <c r="O72" s="27">
        <f t="shared" si="28"/>
        <v>1.7310551298613241E-6</v>
      </c>
      <c r="P72" s="27">
        <f t="shared" si="29"/>
        <v>9954690450088612</v>
      </c>
      <c r="Q72" s="21">
        <f t="shared" si="30"/>
        <v>2.032E-3</v>
      </c>
      <c r="R72" s="21">
        <v>1.94149580791897E-10</v>
      </c>
      <c r="S72" s="2">
        <v>0.32</v>
      </c>
      <c r="T72" s="27">
        <f t="shared" si="31"/>
        <v>132000</v>
      </c>
      <c r="U72" s="2">
        <v>5.36358238306597E-3</v>
      </c>
      <c r="V72" s="11">
        <v>0.11</v>
      </c>
      <c r="W72" s="30">
        <f t="shared" si="32"/>
        <v>111000.00000000001</v>
      </c>
      <c r="X72" s="30">
        <f t="shared" si="19"/>
        <v>45.602866336633667</v>
      </c>
      <c r="Y72" s="11">
        <f t="shared" si="33"/>
        <v>618.54098707049002</v>
      </c>
      <c r="Z72" s="27">
        <f t="shared" si="34"/>
        <v>7.0669460275414149E-14</v>
      </c>
      <c r="AA72" s="27">
        <f t="shared" si="35"/>
        <v>42557148977.854401</v>
      </c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</row>
    <row r="73" spans="1:78" s="4" customFormat="1" x14ac:dyDescent="0.3">
      <c r="A73" s="26">
        <v>213</v>
      </c>
      <c r="B73" s="1">
        <f t="shared" si="20"/>
        <v>12780</v>
      </c>
      <c r="C73" s="26">
        <f t="shared" si="21"/>
        <v>3.55</v>
      </c>
      <c r="D73" s="26">
        <v>20</v>
      </c>
      <c r="E73" s="26">
        <f t="shared" si="18"/>
        <v>29.146000000000001</v>
      </c>
      <c r="F73" s="26">
        <f t="shared" si="22"/>
        <v>4.8576666666666667E-7</v>
      </c>
      <c r="G73" s="26">
        <v>21.1</v>
      </c>
      <c r="H73" s="26">
        <f t="shared" si="23"/>
        <v>294.10000000000002</v>
      </c>
      <c r="I73" s="26">
        <v>101.3</v>
      </c>
      <c r="J73" s="26">
        <f t="shared" si="24"/>
        <v>101300</v>
      </c>
      <c r="K73" s="26">
        <f t="shared" si="25"/>
        <v>2.0124824921938581E-5</v>
      </c>
      <c r="L73" s="28">
        <v>411.33168316831683</v>
      </c>
      <c r="M73" s="27">
        <f t="shared" si="26"/>
        <v>4.1133168316831681E-4</v>
      </c>
      <c r="N73" s="29">
        <f t="shared" si="27"/>
        <v>4.7762865441819992E-3</v>
      </c>
      <c r="O73" s="27">
        <f t="shared" si="28"/>
        <v>1.733141014894113E-6</v>
      </c>
      <c r="P73" s="27">
        <f t="shared" si="29"/>
        <v>9966685642764856</v>
      </c>
      <c r="Q73" s="21">
        <f t="shared" si="30"/>
        <v>2.032E-3</v>
      </c>
      <c r="R73" s="21">
        <v>1.94149580791897E-10</v>
      </c>
      <c r="S73" s="2">
        <v>0.32</v>
      </c>
      <c r="T73" s="27">
        <f t="shared" si="31"/>
        <v>132000</v>
      </c>
      <c r="U73" s="2">
        <v>5.36358238306597E-3</v>
      </c>
      <c r="V73" s="11">
        <v>0.11</v>
      </c>
      <c r="W73" s="30">
        <f t="shared" si="32"/>
        <v>111000.00000000001</v>
      </c>
      <c r="X73" s="30">
        <f t="shared" si="19"/>
        <v>45.657816831683171</v>
      </c>
      <c r="Y73" s="11">
        <f t="shared" si="33"/>
        <v>619.82987828563387</v>
      </c>
      <c r="Z73" s="27">
        <f t="shared" si="34"/>
        <v>7.0755309619733354E-14</v>
      </c>
      <c r="AA73" s="27">
        <f t="shared" si="35"/>
        <v>42608847453.003426</v>
      </c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</row>
    <row r="74" spans="1:78" s="4" customFormat="1" x14ac:dyDescent="0.3">
      <c r="A74" s="26">
        <v>216</v>
      </c>
      <c r="B74" s="1">
        <f t="shared" si="20"/>
        <v>12960</v>
      </c>
      <c r="C74" s="26">
        <f t="shared" si="21"/>
        <v>3.6</v>
      </c>
      <c r="D74" s="26">
        <v>20</v>
      </c>
      <c r="E74" s="26">
        <f t="shared" si="18"/>
        <v>29.146000000000001</v>
      </c>
      <c r="F74" s="26">
        <f t="shared" si="22"/>
        <v>4.8576666666666667E-7</v>
      </c>
      <c r="G74" s="26">
        <v>21.1</v>
      </c>
      <c r="H74" s="26">
        <f t="shared" si="23"/>
        <v>294.10000000000002</v>
      </c>
      <c r="I74" s="26">
        <v>101.3</v>
      </c>
      <c r="J74" s="26">
        <f t="shared" si="24"/>
        <v>101300</v>
      </c>
      <c r="K74" s="26">
        <f t="shared" si="25"/>
        <v>2.0124824921938581E-5</v>
      </c>
      <c r="L74" s="28">
        <v>407.37128712871288</v>
      </c>
      <c r="M74" s="27">
        <f t="shared" si="26"/>
        <v>4.0737128712871285E-4</v>
      </c>
      <c r="N74" s="29">
        <f t="shared" si="27"/>
        <v>4.7762865441819992E-3</v>
      </c>
      <c r="O74" s="27">
        <f t="shared" si="28"/>
        <v>1.7164539346318006E-6</v>
      </c>
      <c r="P74" s="27">
        <f t="shared" si="29"/>
        <v>9870724101354902</v>
      </c>
      <c r="Q74" s="21">
        <f t="shared" si="30"/>
        <v>2.032E-3</v>
      </c>
      <c r="R74" s="21">
        <v>1.94149580791897E-10</v>
      </c>
      <c r="S74" s="2">
        <v>0.32</v>
      </c>
      <c r="T74" s="27">
        <f t="shared" si="31"/>
        <v>132000</v>
      </c>
      <c r="U74" s="2">
        <v>5.36358238306597E-3</v>
      </c>
      <c r="V74" s="11">
        <v>0.11</v>
      </c>
      <c r="W74" s="30">
        <f t="shared" si="32"/>
        <v>111000.00000000001</v>
      </c>
      <c r="X74" s="30">
        <f t="shared" si="19"/>
        <v>45.218212871287136</v>
      </c>
      <c r="Y74" s="11">
        <f t="shared" si="33"/>
        <v>609.55290835018297</v>
      </c>
      <c r="Z74" s="27">
        <f t="shared" si="34"/>
        <v>7.0068580242470916E-14</v>
      </c>
      <c r="AA74" s="27">
        <f t="shared" si="35"/>
        <v>42195299022.015984</v>
      </c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</row>
    <row r="75" spans="1:78" s="4" customFormat="1" x14ac:dyDescent="0.3">
      <c r="A75" s="26">
        <v>219</v>
      </c>
      <c r="B75" s="1">
        <f t="shared" si="20"/>
        <v>13140</v>
      </c>
      <c r="C75" s="26">
        <f t="shared" si="21"/>
        <v>3.65</v>
      </c>
      <c r="D75" s="26">
        <v>20</v>
      </c>
      <c r="E75" s="26">
        <f t="shared" si="18"/>
        <v>29.146000000000001</v>
      </c>
      <c r="F75" s="26">
        <f t="shared" si="22"/>
        <v>4.8576666666666667E-7</v>
      </c>
      <c r="G75" s="26">
        <v>21.1</v>
      </c>
      <c r="H75" s="26">
        <f t="shared" si="23"/>
        <v>294.10000000000002</v>
      </c>
      <c r="I75" s="26">
        <v>101.3</v>
      </c>
      <c r="J75" s="26">
        <f t="shared" si="24"/>
        <v>101300</v>
      </c>
      <c r="K75" s="26">
        <f t="shared" si="25"/>
        <v>2.0124824921938581E-5</v>
      </c>
      <c r="L75" s="28">
        <v>406.60396039603961</v>
      </c>
      <c r="M75" s="27">
        <f t="shared" si="26"/>
        <v>4.0660396039603962E-4</v>
      </c>
      <c r="N75" s="29">
        <f t="shared" si="27"/>
        <v>4.7762865441819992E-3</v>
      </c>
      <c r="O75" s="27">
        <f t="shared" si="28"/>
        <v>1.7132208128309777E-6</v>
      </c>
      <c r="P75" s="27">
        <f t="shared" si="29"/>
        <v>9852131552706722</v>
      </c>
      <c r="Q75" s="21">
        <f t="shared" si="30"/>
        <v>2.032E-3</v>
      </c>
      <c r="R75" s="21">
        <v>1.94149580791897E-10</v>
      </c>
      <c r="S75" s="2">
        <v>0.32</v>
      </c>
      <c r="T75" s="27">
        <f t="shared" si="31"/>
        <v>132000</v>
      </c>
      <c r="U75" s="2">
        <v>5.36358238306597E-3</v>
      </c>
      <c r="V75" s="11">
        <v>0.11</v>
      </c>
      <c r="W75" s="30">
        <f t="shared" si="32"/>
        <v>111000.00000000001</v>
      </c>
      <c r="X75" s="30">
        <f t="shared" si="19"/>
        <v>45.133039603960405</v>
      </c>
      <c r="Y75" s="11">
        <f t="shared" si="33"/>
        <v>607.57077830240678</v>
      </c>
      <c r="Z75" s="27">
        <f t="shared" si="34"/>
        <v>6.9935543656763147E-14</v>
      </c>
      <c r="AA75" s="27">
        <f t="shared" si="35"/>
        <v>42115184390.102768</v>
      </c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</row>
    <row r="76" spans="1:78" s="4" customFormat="1" x14ac:dyDescent="0.3">
      <c r="A76" s="26">
        <v>222</v>
      </c>
      <c r="B76" s="1">
        <f t="shared" si="20"/>
        <v>13320</v>
      </c>
      <c r="C76" s="26">
        <f t="shared" si="21"/>
        <v>3.7</v>
      </c>
      <c r="D76" s="26">
        <v>20</v>
      </c>
      <c r="E76" s="26">
        <f t="shared" si="18"/>
        <v>29.146000000000001</v>
      </c>
      <c r="F76" s="26">
        <f t="shared" si="22"/>
        <v>4.8576666666666667E-7</v>
      </c>
      <c r="G76" s="26">
        <v>21.1</v>
      </c>
      <c r="H76" s="26">
        <f t="shared" si="23"/>
        <v>294.10000000000002</v>
      </c>
      <c r="I76" s="26">
        <v>101.3</v>
      </c>
      <c r="J76" s="26">
        <f t="shared" si="24"/>
        <v>101300</v>
      </c>
      <c r="K76" s="26">
        <f t="shared" si="25"/>
        <v>2.0124824921938581E-5</v>
      </c>
      <c r="L76" s="28">
        <v>415.81188118811883</v>
      </c>
      <c r="M76" s="27">
        <f t="shared" si="26"/>
        <v>4.1581188118811882E-4</v>
      </c>
      <c r="N76" s="29">
        <f t="shared" si="27"/>
        <v>4.7762865441819992E-3</v>
      </c>
      <c r="O76" s="27">
        <f t="shared" si="28"/>
        <v>1.7520182744408543E-6</v>
      </c>
      <c r="P76" s="27">
        <f t="shared" si="29"/>
        <v>1.007524213648487E+16</v>
      </c>
      <c r="Q76" s="21">
        <f t="shared" si="30"/>
        <v>2.032E-3</v>
      </c>
      <c r="R76" s="21">
        <v>1.94149580791897E-10</v>
      </c>
      <c r="S76" s="2">
        <v>0.32</v>
      </c>
      <c r="T76" s="27">
        <f t="shared" si="31"/>
        <v>132000</v>
      </c>
      <c r="U76" s="2">
        <v>5.36358238306597E-3</v>
      </c>
      <c r="V76" s="11">
        <v>0.11</v>
      </c>
      <c r="W76" s="30">
        <f t="shared" si="32"/>
        <v>111000.00000000001</v>
      </c>
      <c r="X76" s="30">
        <f t="shared" si="19"/>
        <v>46.155118811881195</v>
      </c>
      <c r="Y76" s="11">
        <f t="shared" si="33"/>
        <v>631.54978304097131</v>
      </c>
      <c r="Z76" s="27">
        <f t="shared" si="34"/>
        <v>7.1532352981869046E-14</v>
      </c>
      <c r="AA76" s="27">
        <f t="shared" si="35"/>
        <v>43076782965.681541</v>
      </c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</row>
    <row r="77" spans="1:78" s="4" customFormat="1" x14ac:dyDescent="0.3">
      <c r="A77" s="26">
        <v>225</v>
      </c>
      <c r="B77" s="1">
        <f t="shared" si="20"/>
        <v>13500</v>
      </c>
      <c r="C77" s="26">
        <f t="shared" si="21"/>
        <v>3.75</v>
      </c>
      <c r="D77" s="26">
        <v>20</v>
      </c>
      <c r="E77" s="26">
        <f t="shared" si="18"/>
        <v>29.146000000000001</v>
      </c>
      <c r="F77" s="26">
        <f t="shared" si="22"/>
        <v>4.8576666666666667E-7</v>
      </c>
      <c r="G77" s="26">
        <v>21.1</v>
      </c>
      <c r="H77" s="26">
        <f t="shared" si="23"/>
        <v>294.10000000000002</v>
      </c>
      <c r="I77" s="26">
        <v>101.3</v>
      </c>
      <c r="J77" s="26">
        <f t="shared" si="24"/>
        <v>101300</v>
      </c>
      <c r="K77" s="26">
        <f t="shared" si="25"/>
        <v>2.0124824921938581E-5</v>
      </c>
      <c r="L77" s="28">
        <v>430.49009900990103</v>
      </c>
      <c r="M77" s="27">
        <f t="shared" si="26"/>
        <v>4.3049009900990103E-4</v>
      </c>
      <c r="N77" s="29">
        <f t="shared" si="27"/>
        <v>4.7762865441819992E-3</v>
      </c>
      <c r="O77" s="27">
        <f t="shared" si="28"/>
        <v>1.8138647656630505E-6</v>
      </c>
      <c r="P77" s="27">
        <f t="shared" si="29"/>
        <v>1.0430899599335524E+16</v>
      </c>
      <c r="Q77" s="21">
        <f t="shared" si="30"/>
        <v>2.032E-3</v>
      </c>
      <c r="R77" s="21">
        <v>1.94149580791897E-10</v>
      </c>
      <c r="S77" s="2">
        <v>0.32</v>
      </c>
      <c r="T77" s="27">
        <f t="shared" si="31"/>
        <v>132000</v>
      </c>
      <c r="U77" s="2">
        <v>5.36358238306597E-3</v>
      </c>
      <c r="V77" s="11">
        <v>0.11</v>
      </c>
      <c r="W77" s="30">
        <f t="shared" si="32"/>
        <v>111000.00000000001</v>
      </c>
      <c r="X77" s="30">
        <f t="shared" si="19"/>
        <v>47.784400990099023</v>
      </c>
      <c r="Y77" s="11">
        <f t="shared" si="33"/>
        <v>670.64526904273737</v>
      </c>
      <c r="Z77" s="27">
        <f t="shared" si="34"/>
        <v>7.4079501283661766E-14</v>
      </c>
      <c r="AA77" s="27">
        <f t="shared" si="35"/>
        <v>44610675673.021118</v>
      </c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</row>
    <row r="78" spans="1:78" s="4" customFormat="1" x14ac:dyDescent="0.3">
      <c r="A78" s="26">
        <v>228</v>
      </c>
      <c r="B78" s="1">
        <f t="shared" si="20"/>
        <v>13680</v>
      </c>
      <c r="C78" s="26">
        <f t="shared" si="21"/>
        <v>3.8</v>
      </c>
      <c r="D78" s="26">
        <v>20</v>
      </c>
      <c r="E78" s="26">
        <f t="shared" si="18"/>
        <v>29.146000000000001</v>
      </c>
      <c r="F78" s="26">
        <f t="shared" si="22"/>
        <v>4.8576666666666667E-7</v>
      </c>
      <c r="G78" s="26">
        <v>21.1</v>
      </c>
      <c r="H78" s="26">
        <f t="shared" si="23"/>
        <v>294.10000000000002</v>
      </c>
      <c r="I78" s="26">
        <v>101.3</v>
      </c>
      <c r="J78" s="26">
        <f t="shared" si="24"/>
        <v>101300</v>
      </c>
      <c r="K78" s="26">
        <f t="shared" si="25"/>
        <v>2.0124824921938581E-5</v>
      </c>
      <c r="L78" s="28">
        <v>423.26237623762381</v>
      </c>
      <c r="M78" s="27">
        <f t="shared" si="26"/>
        <v>4.2326237623762383E-4</v>
      </c>
      <c r="N78" s="29">
        <f t="shared" si="27"/>
        <v>4.7762865441819992E-3</v>
      </c>
      <c r="O78" s="27">
        <f t="shared" si="28"/>
        <v>1.7834108441843301E-6</v>
      </c>
      <c r="P78" s="27">
        <f t="shared" si="29"/>
        <v>1.0255769786262352E+16</v>
      </c>
      <c r="Q78" s="21">
        <f t="shared" si="30"/>
        <v>2.032E-3</v>
      </c>
      <c r="R78" s="21">
        <v>1.94149580791897E-10</v>
      </c>
      <c r="S78" s="2">
        <v>0.32</v>
      </c>
      <c r="T78" s="27">
        <f t="shared" si="31"/>
        <v>132000</v>
      </c>
      <c r="U78" s="2">
        <v>5.36358238306597E-3</v>
      </c>
      <c r="V78" s="11">
        <v>0.11</v>
      </c>
      <c r="W78" s="30">
        <f t="shared" si="32"/>
        <v>111000.00000000001</v>
      </c>
      <c r="X78" s="30">
        <f t="shared" si="19"/>
        <v>46.982123762376254</v>
      </c>
      <c r="Y78" s="11">
        <f t="shared" si="33"/>
        <v>651.26063420400351</v>
      </c>
      <c r="Z78" s="27">
        <f t="shared" si="34"/>
        <v>7.2824992701275884E-14</v>
      </c>
      <c r="AA78" s="27">
        <f t="shared" si="35"/>
        <v>43855210604.708336</v>
      </c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</row>
    <row r="79" spans="1:78" s="4" customFormat="1" x14ac:dyDescent="0.3">
      <c r="A79" s="26">
        <v>231</v>
      </c>
      <c r="B79" s="1">
        <f t="shared" si="20"/>
        <v>13860</v>
      </c>
      <c r="C79" s="26">
        <f t="shared" si="21"/>
        <v>3.85</v>
      </c>
      <c r="D79" s="26">
        <v>20</v>
      </c>
      <c r="E79" s="26">
        <f t="shared" si="18"/>
        <v>29.146000000000001</v>
      </c>
      <c r="F79" s="26">
        <f t="shared" si="22"/>
        <v>4.8576666666666667E-7</v>
      </c>
      <c r="G79" s="26">
        <v>21.1</v>
      </c>
      <c r="H79" s="26">
        <f t="shared" si="23"/>
        <v>294.10000000000002</v>
      </c>
      <c r="I79" s="26">
        <v>101.3</v>
      </c>
      <c r="J79" s="26">
        <f t="shared" si="24"/>
        <v>101300</v>
      </c>
      <c r="K79" s="26">
        <f t="shared" si="25"/>
        <v>2.0124824921938581E-5</v>
      </c>
      <c r="L79" s="28">
        <v>422.44554455445547</v>
      </c>
      <c r="M79" s="27">
        <f t="shared" si="26"/>
        <v>4.2244554455445548E-4</v>
      </c>
      <c r="N79" s="29">
        <f t="shared" si="27"/>
        <v>4.7762865441819992E-3</v>
      </c>
      <c r="O79" s="27">
        <f t="shared" si="28"/>
        <v>1.7799691338802282E-6</v>
      </c>
      <c r="P79" s="27">
        <f t="shared" si="29"/>
        <v>1.023597771834655E+16</v>
      </c>
      <c r="Q79" s="21">
        <f t="shared" si="30"/>
        <v>2.032E-3</v>
      </c>
      <c r="R79" s="21">
        <v>1.94149580791897E-10</v>
      </c>
      <c r="S79" s="2">
        <v>0.32</v>
      </c>
      <c r="T79" s="27">
        <f t="shared" si="31"/>
        <v>132000</v>
      </c>
      <c r="U79" s="2">
        <v>5.36358238306597E-3</v>
      </c>
      <c r="V79" s="11">
        <v>0.11</v>
      </c>
      <c r="W79" s="30">
        <f t="shared" si="32"/>
        <v>111000.00000000001</v>
      </c>
      <c r="X79" s="30">
        <f t="shared" si="19"/>
        <v>46.891455445544565</v>
      </c>
      <c r="Y79" s="11">
        <f t="shared" si="33"/>
        <v>649.08619447351032</v>
      </c>
      <c r="Z79" s="27">
        <f t="shared" si="34"/>
        <v>7.2683248348132189E-14</v>
      </c>
      <c r="AA79" s="27">
        <f t="shared" si="35"/>
        <v>43769852155.245209</v>
      </c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</row>
    <row r="80" spans="1:78" s="4" customFormat="1" x14ac:dyDescent="0.3">
      <c r="A80" s="26">
        <v>234</v>
      </c>
      <c r="B80" s="1">
        <f t="shared" si="20"/>
        <v>14040</v>
      </c>
      <c r="C80" s="26">
        <f t="shared" si="21"/>
        <v>3.9</v>
      </c>
      <c r="D80" s="26">
        <v>20</v>
      </c>
      <c r="E80" s="26">
        <f t="shared" si="18"/>
        <v>29.146000000000001</v>
      </c>
      <c r="F80" s="26">
        <f t="shared" si="22"/>
        <v>4.8576666666666667E-7</v>
      </c>
      <c r="G80" s="26">
        <v>21.1</v>
      </c>
      <c r="H80" s="26">
        <f t="shared" si="23"/>
        <v>294.10000000000002</v>
      </c>
      <c r="I80" s="26">
        <v>101.3</v>
      </c>
      <c r="J80" s="26">
        <f t="shared" si="24"/>
        <v>101300</v>
      </c>
      <c r="K80" s="26">
        <f t="shared" si="25"/>
        <v>2.0124824921938581E-5</v>
      </c>
      <c r="L80" s="28">
        <v>411.38118811881191</v>
      </c>
      <c r="M80" s="27">
        <f t="shared" si="26"/>
        <v>4.1138118811881192E-4</v>
      </c>
      <c r="N80" s="29">
        <f t="shared" si="27"/>
        <v>4.7762865441819992E-3</v>
      </c>
      <c r="O80" s="27">
        <f t="shared" si="28"/>
        <v>1.7333496033973925E-6</v>
      </c>
      <c r="P80" s="27">
        <f t="shared" si="29"/>
        <v>9967885162032484</v>
      </c>
      <c r="Q80" s="21">
        <f t="shared" si="30"/>
        <v>2.032E-3</v>
      </c>
      <c r="R80" s="21">
        <v>1.94149580791897E-10</v>
      </c>
      <c r="S80" s="2">
        <v>0.32</v>
      </c>
      <c r="T80" s="27">
        <f t="shared" si="31"/>
        <v>132000</v>
      </c>
      <c r="U80" s="2">
        <v>5.36358238306597E-3</v>
      </c>
      <c r="V80" s="11">
        <v>0.11</v>
      </c>
      <c r="W80" s="30">
        <f t="shared" si="32"/>
        <v>111000.00000000001</v>
      </c>
      <c r="X80" s="30">
        <f t="shared" si="19"/>
        <v>45.663311881188129</v>
      </c>
      <c r="Y80" s="11">
        <f t="shared" si="33"/>
        <v>619.95883448283371</v>
      </c>
      <c r="Z80" s="27">
        <f t="shared" si="34"/>
        <v>7.076389468293742E-14</v>
      </c>
      <c r="AA80" s="27">
        <f t="shared" si="35"/>
        <v>42614017378.064919</v>
      </c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</row>
    <row r="81" spans="1:78" s="4" customFormat="1" x14ac:dyDescent="0.3">
      <c r="A81" s="26">
        <v>237</v>
      </c>
      <c r="B81" s="1">
        <f t="shared" si="20"/>
        <v>14220</v>
      </c>
      <c r="C81" s="26">
        <f t="shared" si="21"/>
        <v>3.95</v>
      </c>
      <c r="D81" s="26">
        <v>20</v>
      </c>
      <c r="E81" s="26">
        <f t="shared" si="18"/>
        <v>29.146000000000001</v>
      </c>
      <c r="F81" s="26">
        <f t="shared" si="22"/>
        <v>4.8576666666666667E-7</v>
      </c>
      <c r="G81" s="26">
        <v>21.1</v>
      </c>
      <c r="H81" s="26">
        <f t="shared" si="23"/>
        <v>294.10000000000002</v>
      </c>
      <c r="I81" s="26">
        <v>101.3</v>
      </c>
      <c r="J81" s="26">
        <f t="shared" si="24"/>
        <v>101300</v>
      </c>
      <c r="K81" s="26">
        <f t="shared" si="25"/>
        <v>2.0124824921938581E-5</v>
      </c>
      <c r="L81" s="28">
        <v>420.58910891089113</v>
      </c>
      <c r="M81" s="27">
        <f t="shared" si="26"/>
        <v>4.2058910891089112E-4</v>
      </c>
      <c r="N81" s="29">
        <f t="shared" si="27"/>
        <v>4.7762865441819992E-3</v>
      </c>
      <c r="O81" s="27">
        <f t="shared" si="28"/>
        <v>1.7721470650072691E-6</v>
      </c>
      <c r="P81" s="27">
        <f t="shared" si="29"/>
        <v>1.0190995745810632E+16</v>
      </c>
      <c r="Q81" s="21">
        <f t="shared" si="30"/>
        <v>2.032E-3</v>
      </c>
      <c r="R81" s="21">
        <v>1.94149580791897E-10</v>
      </c>
      <c r="S81" s="2">
        <v>0.32</v>
      </c>
      <c r="T81" s="27">
        <f t="shared" si="31"/>
        <v>132000</v>
      </c>
      <c r="U81" s="2">
        <v>5.36358238306597E-3</v>
      </c>
      <c r="V81" s="11">
        <v>0.11</v>
      </c>
      <c r="W81" s="30">
        <f t="shared" si="32"/>
        <v>111000.00000000001</v>
      </c>
      <c r="X81" s="30">
        <f t="shared" si="19"/>
        <v>46.685391089108919</v>
      </c>
      <c r="Y81" s="11">
        <f t="shared" si="33"/>
        <v>644.15659892085012</v>
      </c>
      <c r="Z81" s="27">
        <f t="shared" si="34"/>
        <v>7.236112632654273E-14</v>
      </c>
      <c r="AA81" s="27">
        <f t="shared" si="35"/>
        <v>43575870273.844032</v>
      </c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</row>
    <row r="82" spans="1:78" s="4" customFormat="1" x14ac:dyDescent="0.3">
      <c r="A82" s="26">
        <v>240</v>
      </c>
      <c r="B82" s="1">
        <f t="shared" si="20"/>
        <v>14400</v>
      </c>
      <c r="C82" s="26">
        <f t="shared" si="21"/>
        <v>4</v>
      </c>
      <c r="D82" s="26">
        <v>20</v>
      </c>
      <c r="E82" s="26">
        <f t="shared" si="18"/>
        <v>29.146000000000001</v>
      </c>
      <c r="F82" s="26">
        <f t="shared" si="22"/>
        <v>4.8576666666666667E-7</v>
      </c>
      <c r="G82" s="26">
        <v>21.1</v>
      </c>
      <c r="H82" s="26">
        <f t="shared" si="23"/>
        <v>294.10000000000002</v>
      </c>
      <c r="I82" s="26">
        <v>101.3</v>
      </c>
      <c r="J82" s="26">
        <f t="shared" si="24"/>
        <v>101300</v>
      </c>
      <c r="K82" s="26">
        <f t="shared" si="25"/>
        <v>2.0124824921938581E-5</v>
      </c>
      <c r="L82" s="20">
        <v>422.24752475247533</v>
      </c>
      <c r="M82" s="27">
        <f t="shared" si="26"/>
        <v>4.222475247524753E-4</v>
      </c>
      <c r="N82" s="29">
        <f t="shared" si="27"/>
        <v>4.7762865441819992E-3</v>
      </c>
      <c r="O82" s="27">
        <f t="shared" si="28"/>
        <v>1.7791347798671124E-6</v>
      </c>
      <c r="P82" s="27">
        <f>O82*N82*6.02*10^(23)*2</f>
        <v>1.023117964127605E+16</v>
      </c>
      <c r="Q82" s="21">
        <f t="shared" si="30"/>
        <v>2.032E-3</v>
      </c>
      <c r="R82" s="21">
        <v>1.94149580791897E-10</v>
      </c>
      <c r="S82" s="2">
        <v>0.32</v>
      </c>
      <c r="T82" s="27">
        <f t="shared" si="31"/>
        <v>132000</v>
      </c>
      <c r="U82" s="2">
        <v>5.36358238306597E-3</v>
      </c>
      <c r="V82" s="11">
        <v>0.11</v>
      </c>
      <c r="W82" s="30">
        <f t="shared" si="32"/>
        <v>111000.00000000001</v>
      </c>
      <c r="X82" s="30">
        <f t="shared" si="19"/>
        <v>46.869475247524768</v>
      </c>
      <c r="Y82" s="11">
        <f t="shared" si="33"/>
        <v>648.55955609606337</v>
      </c>
      <c r="Z82" s="9">
        <f t="shared" si="34"/>
        <v>7.264888706318005E-14</v>
      </c>
      <c r="AA82" s="9">
        <f t="shared" si="35"/>
        <v>43749159789.447029</v>
      </c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</row>
    <row r="83" spans="1:78" s="4" customFormat="1" x14ac:dyDescent="0.3">
      <c r="A83" s="26">
        <v>243</v>
      </c>
      <c r="B83" s="1">
        <f t="shared" si="20"/>
        <v>14580</v>
      </c>
      <c r="C83" s="26">
        <f t="shared" si="21"/>
        <v>4.05</v>
      </c>
      <c r="D83" s="26">
        <v>20</v>
      </c>
      <c r="E83" s="26">
        <f t="shared" si="18"/>
        <v>29.146000000000001</v>
      </c>
      <c r="F83" s="26">
        <f t="shared" si="22"/>
        <v>4.8576666666666667E-7</v>
      </c>
      <c r="G83" s="26">
        <v>21.1</v>
      </c>
      <c r="H83" s="26">
        <f t="shared" si="23"/>
        <v>294.10000000000002</v>
      </c>
      <c r="I83" s="26">
        <v>101.3</v>
      </c>
      <c r="J83" s="26">
        <f t="shared" si="24"/>
        <v>101300</v>
      </c>
      <c r="K83" s="26">
        <f t="shared" si="25"/>
        <v>2.0124824921938581E-5</v>
      </c>
      <c r="L83" s="20">
        <v>418.70792079207922</v>
      </c>
      <c r="M83" s="27">
        <f t="shared" si="26"/>
        <v>4.1870792079207924E-4</v>
      </c>
      <c r="N83" s="29">
        <f t="shared" si="27"/>
        <v>4.7762865441819992E-3</v>
      </c>
      <c r="O83" s="27">
        <f t="shared" si="28"/>
        <v>1.7642207018826704E-6</v>
      </c>
      <c r="P83" s="27">
        <f t="shared" ref="P83:P125" si="36">O83*N83*6.02*10^(23)*2</f>
        <v>1.0145414013640902E+16</v>
      </c>
      <c r="Q83" s="21">
        <f t="shared" si="30"/>
        <v>2.032E-3</v>
      </c>
      <c r="R83" s="21">
        <v>1.94149580791897E-10</v>
      </c>
      <c r="S83" s="2">
        <v>0.32</v>
      </c>
      <c r="T83" s="27">
        <f t="shared" si="31"/>
        <v>132000</v>
      </c>
      <c r="U83" s="2">
        <v>5.36358238306597E-3</v>
      </c>
      <c r="V83" s="11">
        <v>0.11</v>
      </c>
      <c r="W83" s="30">
        <f t="shared" si="32"/>
        <v>111000.00000000001</v>
      </c>
      <c r="X83" s="30">
        <f t="shared" si="19"/>
        <v>46.4765792079208</v>
      </c>
      <c r="Y83" s="11">
        <f t="shared" si="33"/>
        <v>639.1787270613579</v>
      </c>
      <c r="Z83" s="9">
        <f t="shared" si="34"/>
        <v>7.2034743576984095E-14</v>
      </c>
      <c r="AA83" s="9">
        <f t="shared" si="35"/>
        <v>43379322582.059822</v>
      </c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</row>
    <row r="84" spans="1:78" s="4" customFormat="1" x14ac:dyDescent="0.3">
      <c r="A84" s="26">
        <v>246</v>
      </c>
      <c r="B84" s="1">
        <f t="shared" si="20"/>
        <v>14760</v>
      </c>
      <c r="C84" s="26">
        <f t="shared" si="21"/>
        <v>4.0999999999999996</v>
      </c>
      <c r="D84" s="26">
        <v>20</v>
      </c>
      <c r="E84" s="26">
        <f t="shared" si="18"/>
        <v>29.146000000000001</v>
      </c>
      <c r="F84" s="26">
        <f t="shared" si="22"/>
        <v>4.8576666666666667E-7</v>
      </c>
      <c r="G84" s="26">
        <v>21.1</v>
      </c>
      <c r="H84" s="26">
        <f t="shared" si="23"/>
        <v>294.10000000000002</v>
      </c>
      <c r="I84" s="26">
        <v>101.3</v>
      </c>
      <c r="J84" s="26">
        <f t="shared" si="24"/>
        <v>101300</v>
      </c>
      <c r="K84" s="26">
        <f t="shared" si="25"/>
        <v>2.0124824921938581E-5</v>
      </c>
      <c r="L84" s="20">
        <v>418.6584158415842</v>
      </c>
      <c r="M84" s="27">
        <f t="shared" si="26"/>
        <v>4.1865841584158418E-4</v>
      </c>
      <c r="N84" s="29">
        <f t="shared" si="27"/>
        <v>4.7762865441819992E-3</v>
      </c>
      <c r="O84" s="27">
        <f t="shared" si="28"/>
        <v>1.7640121133793915E-6</v>
      </c>
      <c r="P84" s="27">
        <f t="shared" si="36"/>
        <v>1.0144214494373276E+16</v>
      </c>
      <c r="Q84" s="21">
        <f t="shared" si="30"/>
        <v>2.032E-3</v>
      </c>
      <c r="R84" s="21">
        <v>1.94149580791897E-10</v>
      </c>
      <c r="S84" s="2">
        <v>0.32</v>
      </c>
      <c r="T84" s="27">
        <f t="shared" si="31"/>
        <v>132000</v>
      </c>
      <c r="U84" s="2">
        <v>5.36358238306597E-3</v>
      </c>
      <c r="V84" s="11">
        <v>0.11</v>
      </c>
      <c r="W84" s="30">
        <f t="shared" si="32"/>
        <v>111000.00000000001</v>
      </c>
      <c r="X84" s="30">
        <f t="shared" si="19"/>
        <v>46.471084158415849</v>
      </c>
      <c r="Y84" s="11">
        <f t="shared" si="33"/>
        <v>639.04796774097838</v>
      </c>
      <c r="Z84" s="9">
        <f t="shared" si="34"/>
        <v>7.2026155021419014E-14</v>
      </c>
      <c r="AA84" s="9">
        <f t="shared" si="35"/>
        <v>43374150553.898529</v>
      </c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</row>
    <row r="85" spans="1:78" s="4" customFormat="1" x14ac:dyDescent="0.3">
      <c r="A85" s="26">
        <v>249</v>
      </c>
      <c r="B85" s="1">
        <f t="shared" si="20"/>
        <v>14940</v>
      </c>
      <c r="C85" s="26">
        <f t="shared" si="21"/>
        <v>4.1500000000000004</v>
      </c>
      <c r="D85" s="26">
        <v>20</v>
      </c>
      <c r="E85" s="26">
        <f t="shared" si="18"/>
        <v>29.146000000000001</v>
      </c>
      <c r="F85" s="26">
        <f t="shared" si="22"/>
        <v>4.8576666666666667E-7</v>
      </c>
      <c r="G85" s="26">
        <v>21.1</v>
      </c>
      <c r="H85" s="26">
        <f t="shared" si="23"/>
        <v>294.10000000000002</v>
      </c>
      <c r="I85" s="26">
        <v>101.3</v>
      </c>
      <c r="J85" s="26">
        <f t="shared" si="24"/>
        <v>101300</v>
      </c>
      <c r="K85" s="26">
        <f t="shared" si="25"/>
        <v>2.0124824921938581E-5</v>
      </c>
      <c r="L85" s="20">
        <v>415.34158415841591</v>
      </c>
      <c r="M85" s="27">
        <f t="shared" si="26"/>
        <v>4.1534158415841593E-4</v>
      </c>
      <c r="N85" s="29">
        <f t="shared" si="27"/>
        <v>4.7762865441819992E-3</v>
      </c>
      <c r="O85" s="27">
        <f t="shared" si="28"/>
        <v>1.7500366836597052E-6</v>
      </c>
      <c r="P85" s="27">
        <f t="shared" si="36"/>
        <v>1.0063846703442442E+16</v>
      </c>
      <c r="Q85" s="21">
        <f t="shared" si="30"/>
        <v>2.032E-3</v>
      </c>
      <c r="R85" s="21">
        <v>1.94149580791897E-10</v>
      </c>
      <c r="S85" s="2">
        <v>0.32</v>
      </c>
      <c r="T85" s="27">
        <f t="shared" si="31"/>
        <v>132000</v>
      </c>
      <c r="U85" s="2">
        <v>5.36358238306597E-3</v>
      </c>
      <c r="V85" s="11">
        <v>0.11</v>
      </c>
      <c r="W85" s="30">
        <f t="shared" si="32"/>
        <v>111000.00000000001</v>
      </c>
      <c r="X85" s="30">
        <f t="shared" si="19"/>
        <v>46.102915841584171</v>
      </c>
      <c r="Y85" s="11">
        <f t="shared" si="33"/>
        <v>630.31482823634985</v>
      </c>
      <c r="Z85" s="9">
        <f t="shared" si="34"/>
        <v>7.1450775830997406E-14</v>
      </c>
      <c r="AA85" s="9">
        <f t="shared" si="35"/>
        <v>43027657205.426643</v>
      </c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</row>
    <row r="86" spans="1:78" s="4" customFormat="1" x14ac:dyDescent="0.3">
      <c r="A86" s="26">
        <v>252</v>
      </c>
      <c r="B86" s="1">
        <f t="shared" si="20"/>
        <v>15120</v>
      </c>
      <c r="C86" s="26">
        <f t="shared" si="21"/>
        <v>4.2</v>
      </c>
      <c r="D86" s="26">
        <v>20</v>
      </c>
      <c r="E86" s="26">
        <f t="shared" si="18"/>
        <v>29.146000000000001</v>
      </c>
      <c r="F86" s="26">
        <f t="shared" si="22"/>
        <v>4.8576666666666667E-7</v>
      </c>
      <c r="G86" s="26">
        <v>21.1</v>
      </c>
      <c r="H86" s="26">
        <f t="shared" si="23"/>
        <v>294.10000000000002</v>
      </c>
      <c r="I86" s="26">
        <v>101.3</v>
      </c>
      <c r="J86" s="26">
        <f t="shared" si="24"/>
        <v>101300</v>
      </c>
      <c r="K86" s="26">
        <f t="shared" si="25"/>
        <v>2.0124824921938581E-5</v>
      </c>
      <c r="L86" s="20">
        <v>428.80693069306938</v>
      </c>
      <c r="M86" s="27">
        <f t="shared" si="26"/>
        <v>4.2880693069306938E-4</v>
      </c>
      <c r="N86" s="29">
        <f t="shared" si="27"/>
        <v>4.7762865441819992E-3</v>
      </c>
      <c r="O86" s="27">
        <f t="shared" si="28"/>
        <v>1.8067727565515678E-6</v>
      </c>
      <c r="P86" s="27">
        <f t="shared" si="36"/>
        <v>1.0390115944236292E+16</v>
      </c>
      <c r="Q86" s="21">
        <f t="shared" si="30"/>
        <v>2.032E-3</v>
      </c>
      <c r="R86" s="21">
        <v>1.94149580791897E-10</v>
      </c>
      <c r="S86" s="2">
        <v>0.32</v>
      </c>
      <c r="T86" s="27">
        <f t="shared" si="31"/>
        <v>132000</v>
      </c>
      <c r="U86" s="2">
        <v>5.36358238306597E-3</v>
      </c>
      <c r="V86" s="11">
        <v>0.11</v>
      </c>
      <c r="W86" s="30">
        <f t="shared" si="32"/>
        <v>111000.00000000001</v>
      </c>
      <c r="X86" s="30">
        <f t="shared" si="19"/>
        <v>47.597569306930708</v>
      </c>
      <c r="Y86" s="11">
        <f t="shared" si="33"/>
        <v>666.10791644444032</v>
      </c>
      <c r="Z86" s="9">
        <f t="shared" si="34"/>
        <v>7.3787309379959518E-14</v>
      </c>
      <c r="AA86" s="9">
        <f t="shared" si="35"/>
        <v>44434717708.611626</v>
      </c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</row>
    <row r="87" spans="1:78" s="4" customFormat="1" x14ac:dyDescent="0.3">
      <c r="A87" s="26">
        <v>255</v>
      </c>
      <c r="B87" s="1">
        <f t="shared" si="20"/>
        <v>15300</v>
      </c>
      <c r="C87" s="26">
        <f t="shared" si="21"/>
        <v>4.25</v>
      </c>
      <c r="D87" s="26">
        <v>20</v>
      </c>
      <c r="E87" s="26">
        <f t="shared" si="18"/>
        <v>29.146000000000001</v>
      </c>
      <c r="F87" s="26">
        <f t="shared" si="22"/>
        <v>4.8576666666666667E-7</v>
      </c>
      <c r="G87" s="26">
        <v>21.1</v>
      </c>
      <c r="H87" s="26">
        <f t="shared" si="23"/>
        <v>294.10000000000002</v>
      </c>
      <c r="I87" s="26">
        <v>101.3</v>
      </c>
      <c r="J87" s="26">
        <f t="shared" si="24"/>
        <v>101300</v>
      </c>
      <c r="K87" s="26">
        <f t="shared" si="25"/>
        <v>2.0124824921938581E-5</v>
      </c>
      <c r="L87" s="20">
        <v>422.14851485148517</v>
      </c>
      <c r="M87" s="27">
        <f t="shared" si="26"/>
        <v>4.2214851485148519E-4</v>
      </c>
      <c r="N87" s="29">
        <f t="shared" si="27"/>
        <v>4.7762865441819992E-3</v>
      </c>
      <c r="O87" s="27">
        <f t="shared" si="28"/>
        <v>1.7787176028605549E-6</v>
      </c>
      <c r="P87" s="27">
        <f t="shared" si="36"/>
        <v>1.0228780602740804E+16</v>
      </c>
      <c r="Q87" s="21">
        <f t="shared" si="30"/>
        <v>2.032E-3</v>
      </c>
      <c r="R87" s="21">
        <v>1.94149580791897E-10</v>
      </c>
      <c r="S87" s="2">
        <v>0.32</v>
      </c>
      <c r="T87" s="27">
        <f t="shared" si="31"/>
        <v>132000</v>
      </c>
      <c r="U87" s="2">
        <v>5.36358238306597E-3</v>
      </c>
      <c r="V87" s="11">
        <v>0.11</v>
      </c>
      <c r="W87" s="30">
        <f t="shared" si="32"/>
        <v>111000.00000000001</v>
      </c>
      <c r="X87" s="30">
        <f t="shared" si="19"/>
        <v>46.858485148514859</v>
      </c>
      <c r="Y87" s="11">
        <f t="shared" si="33"/>
        <v>648.29630986942539</v>
      </c>
      <c r="Z87" s="9">
        <f t="shared" si="34"/>
        <v>7.2631706564374301E-14</v>
      </c>
      <c r="AA87" s="9">
        <f t="shared" si="35"/>
        <v>43738813693.066208</v>
      </c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</row>
    <row r="88" spans="1:78" s="4" customFormat="1" x14ac:dyDescent="0.3">
      <c r="A88" s="26">
        <v>258</v>
      </c>
      <c r="B88" s="1">
        <f t="shared" si="20"/>
        <v>15480</v>
      </c>
      <c r="C88" s="26">
        <f t="shared" si="21"/>
        <v>4.3</v>
      </c>
      <c r="D88" s="26">
        <v>20</v>
      </c>
      <c r="E88" s="26">
        <f t="shared" si="18"/>
        <v>29.146000000000001</v>
      </c>
      <c r="F88" s="26">
        <f t="shared" si="22"/>
        <v>4.8576666666666667E-7</v>
      </c>
      <c r="G88" s="26">
        <v>21.1</v>
      </c>
      <c r="H88" s="26">
        <f t="shared" si="23"/>
        <v>294.10000000000002</v>
      </c>
      <c r="I88" s="26">
        <v>101.3</v>
      </c>
      <c r="J88" s="26">
        <f t="shared" si="24"/>
        <v>101300</v>
      </c>
      <c r="K88" s="26">
        <f t="shared" si="25"/>
        <v>2.0124824921938581E-5</v>
      </c>
      <c r="L88" s="20">
        <v>423.46039603960401</v>
      </c>
      <c r="M88" s="27">
        <f t="shared" si="26"/>
        <v>4.2346039603960401E-4</v>
      </c>
      <c r="N88" s="29">
        <f t="shared" si="27"/>
        <v>4.7762865441819992E-3</v>
      </c>
      <c r="O88" s="27">
        <f t="shared" si="28"/>
        <v>1.7842451981974458E-6</v>
      </c>
      <c r="P88" s="27">
        <f t="shared" si="36"/>
        <v>1.026056786333285E+16</v>
      </c>
      <c r="Q88" s="21">
        <f t="shared" si="30"/>
        <v>2.032E-3</v>
      </c>
      <c r="R88" s="21">
        <v>1.94149580791897E-10</v>
      </c>
      <c r="S88" s="2">
        <v>0.32</v>
      </c>
      <c r="T88" s="27">
        <f t="shared" si="31"/>
        <v>132000</v>
      </c>
      <c r="U88" s="2">
        <v>5.36358238306597E-3</v>
      </c>
      <c r="V88" s="11">
        <v>0.11</v>
      </c>
      <c r="W88" s="30">
        <f t="shared" si="32"/>
        <v>111000.00000000001</v>
      </c>
      <c r="X88" s="30">
        <f t="shared" si="19"/>
        <v>47.004103960396051</v>
      </c>
      <c r="Y88" s="11">
        <f t="shared" si="33"/>
        <v>651.78826958380057</v>
      </c>
      <c r="Z88" s="9">
        <f t="shared" si="34"/>
        <v>7.2859355951975745E-14</v>
      </c>
      <c r="AA88" s="9">
        <f t="shared" si="35"/>
        <v>43875904154.279793</v>
      </c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</row>
    <row r="89" spans="1:78" s="4" customFormat="1" x14ac:dyDescent="0.3">
      <c r="A89" s="26">
        <v>261</v>
      </c>
      <c r="B89" s="1">
        <f t="shared" si="20"/>
        <v>15660</v>
      </c>
      <c r="C89" s="26">
        <f t="shared" si="21"/>
        <v>4.3499999999999996</v>
      </c>
      <c r="D89" s="26">
        <v>20</v>
      </c>
      <c r="E89" s="26">
        <f t="shared" si="18"/>
        <v>29.146000000000001</v>
      </c>
      <c r="F89" s="26">
        <f t="shared" si="22"/>
        <v>4.8576666666666667E-7</v>
      </c>
      <c r="G89" s="26">
        <v>21.1</v>
      </c>
      <c r="H89" s="26">
        <f t="shared" si="23"/>
        <v>294.10000000000002</v>
      </c>
      <c r="I89" s="26">
        <v>101.3</v>
      </c>
      <c r="J89" s="26">
        <f t="shared" si="24"/>
        <v>101300</v>
      </c>
      <c r="K89" s="26">
        <f t="shared" si="25"/>
        <v>2.0124824921938581E-5</v>
      </c>
      <c r="L89" s="20">
        <v>410.46534653465346</v>
      </c>
      <c r="M89" s="27">
        <f t="shared" si="26"/>
        <v>4.1046534653465345E-4</v>
      </c>
      <c r="N89" s="29">
        <f t="shared" si="27"/>
        <v>4.7762865441819992E-3</v>
      </c>
      <c r="O89" s="27">
        <f t="shared" si="28"/>
        <v>1.7294907160867323E-6</v>
      </c>
      <c r="P89" s="27">
        <f t="shared" si="36"/>
        <v>9945694055581428</v>
      </c>
      <c r="Q89" s="21">
        <f t="shared" si="30"/>
        <v>2.032E-3</v>
      </c>
      <c r="R89" s="21">
        <v>1.94149580791897E-10</v>
      </c>
      <c r="S89" s="2">
        <v>0.32</v>
      </c>
      <c r="T89" s="27">
        <f t="shared" si="31"/>
        <v>132000</v>
      </c>
      <c r="U89" s="2">
        <v>5.36358238306597E-3</v>
      </c>
      <c r="V89" s="11">
        <v>0.11</v>
      </c>
      <c r="W89" s="30">
        <f t="shared" si="32"/>
        <v>111000.00000000001</v>
      </c>
      <c r="X89" s="30">
        <f t="shared" si="19"/>
        <v>45.561653465346538</v>
      </c>
      <c r="Y89" s="11">
        <f t="shared" si="33"/>
        <v>617.57511905894364</v>
      </c>
      <c r="Z89" s="9">
        <f t="shared" si="34"/>
        <v>7.0605074802699929E-14</v>
      </c>
      <c r="AA89" s="9">
        <f t="shared" si="35"/>
        <v>42518376046.185898</v>
      </c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</row>
    <row r="90" spans="1:78" s="4" customFormat="1" x14ac:dyDescent="0.3">
      <c r="A90" s="26">
        <v>264</v>
      </c>
      <c r="B90" s="1">
        <f t="shared" si="20"/>
        <v>15840</v>
      </c>
      <c r="C90" s="26">
        <f t="shared" si="21"/>
        <v>4.4000000000000004</v>
      </c>
      <c r="D90" s="26">
        <v>20</v>
      </c>
      <c r="E90" s="26">
        <f t="shared" si="18"/>
        <v>29.146000000000001</v>
      </c>
      <c r="F90" s="26">
        <f t="shared" si="22"/>
        <v>4.8576666666666667E-7</v>
      </c>
      <c r="G90" s="26">
        <v>21.1</v>
      </c>
      <c r="H90" s="26">
        <f t="shared" si="23"/>
        <v>294.10000000000002</v>
      </c>
      <c r="I90" s="26">
        <v>101.3</v>
      </c>
      <c r="J90" s="26">
        <f t="shared" si="24"/>
        <v>101300</v>
      </c>
      <c r="K90" s="26">
        <f t="shared" si="25"/>
        <v>2.0124824921938581E-5</v>
      </c>
      <c r="L90" s="20">
        <v>418.93069306930698</v>
      </c>
      <c r="M90" s="27">
        <f t="shared" si="26"/>
        <v>4.18930693069307E-4</v>
      </c>
      <c r="N90" s="29">
        <f t="shared" si="27"/>
        <v>4.7762865441819992E-3</v>
      </c>
      <c r="O90" s="27">
        <f t="shared" si="28"/>
        <v>1.7651593501474259E-6</v>
      </c>
      <c r="P90" s="27">
        <f t="shared" si="36"/>
        <v>1.0150811850345214E+16</v>
      </c>
      <c r="Q90" s="21">
        <f t="shared" si="30"/>
        <v>2.032E-3</v>
      </c>
      <c r="R90" s="21">
        <v>1.94149580791897E-10</v>
      </c>
      <c r="S90" s="2">
        <v>0.32</v>
      </c>
      <c r="T90" s="27">
        <f t="shared" si="31"/>
        <v>132000</v>
      </c>
      <c r="U90" s="2">
        <v>5.36358238306597E-3</v>
      </c>
      <c r="V90" s="11">
        <v>0.11</v>
      </c>
      <c r="W90" s="30">
        <f t="shared" si="32"/>
        <v>111000.00000000001</v>
      </c>
      <c r="X90" s="30">
        <f t="shared" si="19"/>
        <v>46.501306930693083</v>
      </c>
      <c r="Y90" s="11">
        <f t="shared" si="33"/>
        <v>639.76729462358162</v>
      </c>
      <c r="Z90" s="9">
        <f t="shared" si="34"/>
        <v>7.2073392371262224E-14</v>
      </c>
      <c r="AA90" s="9">
        <f t="shared" si="35"/>
        <v>43402596885.974113</v>
      </c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</row>
    <row r="91" spans="1:78" s="4" customFormat="1" x14ac:dyDescent="0.3">
      <c r="A91" s="26">
        <v>267</v>
      </c>
      <c r="B91" s="1">
        <f t="shared" si="20"/>
        <v>16020</v>
      </c>
      <c r="C91" s="26">
        <f t="shared" si="21"/>
        <v>4.45</v>
      </c>
      <c r="D91" s="26">
        <v>20</v>
      </c>
      <c r="E91" s="26">
        <f t="shared" si="18"/>
        <v>29.146000000000001</v>
      </c>
      <c r="F91" s="26">
        <f t="shared" si="22"/>
        <v>4.8576666666666667E-7</v>
      </c>
      <c r="G91" s="26">
        <v>21.1</v>
      </c>
      <c r="H91" s="26">
        <f t="shared" si="23"/>
        <v>294.10000000000002</v>
      </c>
      <c r="I91" s="26">
        <v>101.3</v>
      </c>
      <c r="J91" s="26">
        <f t="shared" si="24"/>
        <v>101300</v>
      </c>
      <c r="K91" s="26">
        <f t="shared" si="25"/>
        <v>2.0124824921938581E-5</v>
      </c>
      <c r="L91" s="20">
        <v>422.47029702970303</v>
      </c>
      <c r="M91" s="27">
        <f t="shared" si="26"/>
        <v>4.2247029702970301E-4</v>
      </c>
      <c r="N91" s="29">
        <f t="shared" si="27"/>
        <v>4.7762865441819992E-3</v>
      </c>
      <c r="O91" s="27">
        <f t="shared" si="28"/>
        <v>1.7800734281318676E-6</v>
      </c>
      <c r="P91" s="27">
        <f t="shared" si="36"/>
        <v>1.0236577477980362E+16</v>
      </c>
      <c r="Q91" s="21">
        <f t="shared" si="30"/>
        <v>2.032E-3</v>
      </c>
      <c r="R91" s="21">
        <v>1.94149580791897E-10</v>
      </c>
      <c r="S91" s="2">
        <v>0.32</v>
      </c>
      <c r="T91" s="27">
        <f t="shared" si="31"/>
        <v>132000</v>
      </c>
      <c r="U91" s="2">
        <v>5.36358238306597E-3</v>
      </c>
      <c r="V91" s="11">
        <v>0.11</v>
      </c>
      <c r="W91" s="30">
        <f t="shared" si="32"/>
        <v>111000.00000000001</v>
      </c>
      <c r="X91" s="30">
        <f t="shared" si="19"/>
        <v>46.894202970297037</v>
      </c>
      <c r="Y91" s="11">
        <f t="shared" si="33"/>
        <v>649.15203795070647</v>
      </c>
      <c r="Z91" s="9">
        <f t="shared" si="34"/>
        <v>7.2687543535695143E-14</v>
      </c>
      <c r="AA91" s="9">
        <f t="shared" si="35"/>
        <v>43772438717.195618</v>
      </c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</row>
    <row r="92" spans="1:78" s="4" customFormat="1" x14ac:dyDescent="0.3">
      <c r="A92" s="26">
        <v>270</v>
      </c>
      <c r="B92" s="1">
        <f t="shared" si="20"/>
        <v>16200</v>
      </c>
      <c r="C92" s="26">
        <f t="shared" si="21"/>
        <v>4.5</v>
      </c>
      <c r="D92" s="26">
        <v>20</v>
      </c>
      <c r="E92" s="26">
        <f t="shared" si="18"/>
        <v>29.146000000000001</v>
      </c>
      <c r="F92" s="26">
        <f t="shared" si="22"/>
        <v>4.8576666666666667E-7</v>
      </c>
      <c r="G92" s="26">
        <v>21.1</v>
      </c>
      <c r="H92" s="26">
        <f t="shared" si="23"/>
        <v>294.10000000000002</v>
      </c>
      <c r="I92" s="26">
        <v>101.3</v>
      </c>
      <c r="J92" s="26">
        <f t="shared" si="24"/>
        <v>101300</v>
      </c>
      <c r="K92" s="26">
        <f t="shared" si="25"/>
        <v>2.0124824921938581E-5</v>
      </c>
      <c r="L92" s="20">
        <v>431.38118811881191</v>
      </c>
      <c r="M92" s="27">
        <f t="shared" si="26"/>
        <v>4.3138118811881192E-4</v>
      </c>
      <c r="N92" s="29">
        <f t="shared" si="27"/>
        <v>4.7762865441819992E-3</v>
      </c>
      <c r="O92" s="27">
        <f t="shared" si="28"/>
        <v>1.8176193587220709E-6</v>
      </c>
      <c r="P92" s="27">
        <f t="shared" si="36"/>
        <v>1.0452490946152764E+16</v>
      </c>
      <c r="Q92" s="21">
        <f t="shared" si="30"/>
        <v>2.032E-3</v>
      </c>
      <c r="R92" s="21">
        <v>1.94149580791897E-10</v>
      </c>
      <c r="S92" s="2">
        <v>0.32</v>
      </c>
      <c r="T92" s="27">
        <f t="shared" si="31"/>
        <v>132000</v>
      </c>
      <c r="U92" s="2">
        <v>5.36358238306597E-3</v>
      </c>
      <c r="V92" s="11">
        <v>0.11</v>
      </c>
      <c r="W92" s="30">
        <f t="shared" si="32"/>
        <v>111000.00000000001</v>
      </c>
      <c r="X92" s="30">
        <f t="shared" si="19"/>
        <v>47.883311881188128</v>
      </c>
      <c r="Y92" s="11">
        <f t="shared" si="33"/>
        <v>673.05307652078636</v>
      </c>
      <c r="Z92" s="9">
        <f t="shared" si="34"/>
        <v>7.4234202499520714E-14</v>
      </c>
      <c r="AA92" s="9">
        <f t="shared" si="35"/>
        <v>44703836745.211372</v>
      </c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</row>
    <row r="93" spans="1:78" s="4" customFormat="1" x14ac:dyDescent="0.3">
      <c r="A93" s="26">
        <v>273</v>
      </c>
      <c r="B93" s="1">
        <f t="shared" si="20"/>
        <v>16380</v>
      </c>
      <c r="C93" s="26">
        <f t="shared" si="21"/>
        <v>4.55</v>
      </c>
      <c r="D93" s="26">
        <v>20</v>
      </c>
      <c r="E93" s="26">
        <f t="shared" si="18"/>
        <v>29.146000000000001</v>
      </c>
      <c r="F93" s="26">
        <f t="shared" si="22"/>
        <v>4.8576666666666667E-7</v>
      </c>
      <c r="G93" s="26">
        <v>21.1</v>
      </c>
      <c r="H93" s="26">
        <f t="shared" si="23"/>
        <v>294.10000000000002</v>
      </c>
      <c r="I93" s="26">
        <v>101.3</v>
      </c>
      <c r="J93" s="26">
        <f t="shared" si="24"/>
        <v>101300</v>
      </c>
      <c r="K93" s="26">
        <f t="shared" si="25"/>
        <v>2.0124824921938581E-5</v>
      </c>
      <c r="L93" s="20">
        <v>422.12376237623761</v>
      </c>
      <c r="M93" s="27">
        <f t="shared" si="26"/>
        <v>4.221237623762376E-4</v>
      </c>
      <c r="N93" s="29">
        <f t="shared" si="27"/>
        <v>4.7762865441819992E-3</v>
      </c>
      <c r="O93" s="27">
        <f t="shared" si="28"/>
        <v>1.778613308608915E-6</v>
      </c>
      <c r="P93" s="27">
        <f t="shared" si="36"/>
        <v>1.0228180843106988E+16</v>
      </c>
      <c r="Q93" s="21">
        <f t="shared" si="30"/>
        <v>2.032E-3</v>
      </c>
      <c r="R93" s="21">
        <v>1.94149580791897E-10</v>
      </c>
      <c r="S93" s="2">
        <v>0.32</v>
      </c>
      <c r="T93" s="27">
        <f t="shared" si="31"/>
        <v>132000</v>
      </c>
      <c r="U93" s="2">
        <v>5.36358238306597E-3</v>
      </c>
      <c r="V93" s="11">
        <v>0.11</v>
      </c>
      <c r="W93" s="30">
        <f t="shared" si="32"/>
        <v>111000.00000000001</v>
      </c>
      <c r="X93" s="30">
        <f t="shared" si="19"/>
        <v>46.85573762376238</v>
      </c>
      <c r="Y93" s="11">
        <f t="shared" si="33"/>
        <v>648.23050591319145</v>
      </c>
      <c r="Z93" s="9">
        <f t="shared" si="34"/>
        <v>7.2627411454635289E-14</v>
      </c>
      <c r="AA93" s="9">
        <f t="shared" si="35"/>
        <v>43736227177.981377</v>
      </c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</row>
    <row r="94" spans="1:78" s="4" customFormat="1" x14ac:dyDescent="0.3">
      <c r="A94" s="26">
        <v>276</v>
      </c>
      <c r="B94" s="1">
        <f t="shared" si="20"/>
        <v>16560</v>
      </c>
      <c r="C94" s="26">
        <f t="shared" si="21"/>
        <v>4.5999999999999996</v>
      </c>
      <c r="D94" s="26">
        <v>20</v>
      </c>
      <c r="E94" s="26">
        <f t="shared" si="18"/>
        <v>29.146000000000001</v>
      </c>
      <c r="F94" s="26">
        <f t="shared" si="22"/>
        <v>4.8576666666666667E-7</v>
      </c>
      <c r="G94" s="26">
        <v>21.1</v>
      </c>
      <c r="H94" s="26">
        <f t="shared" si="23"/>
        <v>294.10000000000002</v>
      </c>
      <c r="I94" s="26">
        <v>101.3</v>
      </c>
      <c r="J94" s="26">
        <f t="shared" si="24"/>
        <v>101300</v>
      </c>
      <c r="K94" s="26">
        <f t="shared" si="25"/>
        <v>2.0124824921938581E-5</v>
      </c>
      <c r="L94" s="20">
        <v>425.29207920792078</v>
      </c>
      <c r="M94" s="27">
        <f t="shared" si="26"/>
        <v>4.2529207920792079E-4</v>
      </c>
      <c r="N94" s="29">
        <f t="shared" si="27"/>
        <v>4.7762865441819992E-3</v>
      </c>
      <c r="O94" s="27">
        <f t="shared" si="28"/>
        <v>1.791962972818765E-6</v>
      </c>
      <c r="P94" s="27">
        <f t="shared" si="36"/>
        <v>1.0304950076234954E+16</v>
      </c>
      <c r="Q94" s="21">
        <f t="shared" si="30"/>
        <v>2.032E-3</v>
      </c>
      <c r="R94" s="21">
        <v>1.94149580791897E-10</v>
      </c>
      <c r="S94" s="2">
        <v>0.32</v>
      </c>
      <c r="T94" s="27">
        <f t="shared" si="31"/>
        <v>132000</v>
      </c>
      <c r="U94" s="2">
        <v>5.36358238306597E-3</v>
      </c>
      <c r="V94" s="11">
        <v>0.11</v>
      </c>
      <c r="W94" s="30">
        <f t="shared" si="32"/>
        <v>111000.00000000001</v>
      </c>
      <c r="X94" s="30">
        <f t="shared" si="19"/>
        <v>47.207420792079212</v>
      </c>
      <c r="Y94" s="11">
        <f t="shared" si="33"/>
        <v>656.67811641329968</v>
      </c>
      <c r="Z94" s="9">
        <f t="shared" si="34"/>
        <v>7.3177234245956218E-14</v>
      </c>
      <c r="AA94" s="9">
        <f t="shared" si="35"/>
        <v>44067330462.914833</v>
      </c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</row>
    <row r="95" spans="1:78" s="4" customFormat="1" x14ac:dyDescent="0.3">
      <c r="A95" s="26">
        <v>279</v>
      </c>
      <c r="B95" s="1">
        <f t="shared" si="20"/>
        <v>16740</v>
      </c>
      <c r="C95" s="26">
        <f t="shared" si="21"/>
        <v>4.6500000000000004</v>
      </c>
      <c r="D95" s="26">
        <v>20</v>
      </c>
      <c r="E95" s="26">
        <f t="shared" si="18"/>
        <v>29.146000000000001</v>
      </c>
      <c r="F95" s="26">
        <f t="shared" si="22"/>
        <v>4.8576666666666667E-7</v>
      </c>
      <c r="G95" s="26">
        <v>21.1</v>
      </c>
      <c r="H95" s="26">
        <f t="shared" si="23"/>
        <v>294.10000000000002</v>
      </c>
      <c r="I95" s="26">
        <v>101.3</v>
      </c>
      <c r="J95" s="26">
        <f t="shared" si="24"/>
        <v>101300</v>
      </c>
      <c r="K95" s="26">
        <f t="shared" si="25"/>
        <v>2.0124824921938581E-5</v>
      </c>
      <c r="L95" s="20">
        <v>422.14851485148517</v>
      </c>
      <c r="M95" s="27">
        <f t="shared" si="26"/>
        <v>4.2214851485148519E-4</v>
      </c>
      <c r="N95" s="29">
        <f t="shared" si="27"/>
        <v>4.7762865441819992E-3</v>
      </c>
      <c r="O95" s="27">
        <f t="shared" si="28"/>
        <v>1.7787176028605549E-6</v>
      </c>
      <c r="P95" s="27">
        <f t="shared" si="36"/>
        <v>1.0228780602740804E+16</v>
      </c>
      <c r="Q95" s="21">
        <f t="shared" si="30"/>
        <v>2.032E-3</v>
      </c>
      <c r="R95" s="21">
        <v>1.94149580791897E-10</v>
      </c>
      <c r="S95" s="2">
        <v>0.32</v>
      </c>
      <c r="T95" s="27">
        <f t="shared" si="31"/>
        <v>132000</v>
      </c>
      <c r="U95" s="2">
        <v>5.36358238306597E-3</v>
      </c>
      <c r="V95" s="11">
        <v>0.11</v>
      </c>
      <c r="W95" s="30">
        <f t="shared" si="32"/>
        <v>111000.00000000001</v>
      </c>
      <c r="X95" s="30">
        <f t="shared" si="19"/>
        <v>46.858485148514859</v>
      </c>
      <c r="Y95" s="11">
        <f t="shared" si="33"/>
        <v>648.29630986942539</v>
      </c>
      <c r="Z95" s="9">
        <f t="shared" si="34"/>
        <v>7.2631706564374301E-14</v>
      </c>
      <c r="AA95" s="9">
        <f t="shared" si="35"/>
        <v>43738813693.066208</v>
      </c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</row>
    <row r="96" spans="1:78" s="4" customFormat="1" x14ac:dyDescent="0.3">
      <c r="A96" s="26">
        <v>282</v>
      </c>
      <c r="B96" s="1">
        <f t="shared" si="20"/>
        <v>16920</v>
      </c>
      <c r="C96" s="26">
        <f t="shared" si="21"/>
        <v>4.7</v>
      </c>
      <c r="D96" s="26">
        <v>20</v>
      </c>
      <c r="E96" s="26">
        <f t="shared" si="18"/>
        <v>29.146000000000001</v>
      </c>
      <c r="F96" s="26">
        <f t="shared" si="22"/>
        <v>4.8576666666666667E-7</v>
      </c>
      <c r="G96" s="26">
        <v>21.1</v>
      </c>
      <c r="H96" s="26">
        <f t="shared" si="23"/>
        <v>294.10000000000002</v>
      </c>
      <c r="I96" s="26">
        <v>101.3</v>
      </c>
      <c r="J96" s="26">
        <f t="shared" si="24"/>
        <v>101300</v>
      </c>
      <c r="K96" s="26">
        <f t="shared" si="25"/>
        <v>2.0124824921938581E-5</v>
      </c>
      <c r="L96" s="20">
        <v>425.49009900990103</v>
      </c>
      <c r="M96" s="27">
        <f t="shared" si="26"/>
        <v>4.2549009900990102E-4</v>
      </c>
      <c r="N96" s="29">
        <f t="shared" si="27"/>
        <v>4.7762865441819992E-3</v>
      </c>
      <c r="O96" s="27">
        <f t="shared" si="28"/>
        <v>1.7927973268318809E-6</v>
      </c>
      <c r="P96" s="27">
        <f t="shared" si="36"/>
        <v>1.0309748153305454E+16</v>
      </c>
      <c r="Q96" s="21">
        <f t="shared" si="30"/>
        <v>2.032E-3</v>
      </c>
      <c r="R96" s="21">
        <v>1.94149580791897E-10</v>
      </c>
      <c r="S96" s="2">
        <v>0.32</v>
      </c>
      <c r="T96" s="27">
        <f t="shared" si="31"/>
        <v>132000</v>
      </c>
      <c r="U96" s="2">
        <v>5.36358238306597E-3</v>
      </c>
      <c r="V96" s="11">
        <v>0.11</v>
      </c>
      <c r="W96" s="30">
        <f t="shared" si="32"/>
        <v>111000.00000000001</v>
      </c>
      <c r="X96" s="30">
        <f t="shared" si="19"/>
        <v>47.229400990099016</v>
      </c>
      <c r="Y96" s="11">
        <f t="shared" si="33"/>
        <v>657.20774502475911</v>
      </c>
      <c r="Z96" s="9">
        <f t="shared" si="34"/>
        <v>7.3211601440116297E-14</v>
      </c>
      <c r="AA96" s="9">
        <f t="shared" si="35"/>
        <v>44088026387.238037</v>
      </c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</row>
    <row r="97" spans="1:78" s="4" customFormat="1" x14ac:dyDescent="0.3">
      <c r="A97" s="26">
        <v>285</v>
      </c>
      <c r="B97" s="1">
        <f t="shared" si="20"/>
        <v>17100</v>
      </c>
      <c r="C97" s="26">
        <f t="shared" si="21"/>
        <v>4.75</v>
      </c>
      <c r="D97" s="26">
        <v>20</v>
      </c>
      <c r="E97" s="26">
        <f t="shared" si="18"/>
        <v>29.146000000000001</v>
      </c>
      <c r="F97" s="26">
        <f t="shared" si="22"/>
        <v>4.8576666666666667E-7</v>
      </c>
      <c r="G97" s="26">
        <v>21.1</v>
      </c>
      <c r="H97" s="26">
        <f t="shared" si="23"/>
        <v>294.10000000000002</v>
      </c>
      <c r="I97" s="26">
        <v>101.3</v>
      </c>
      <c r="J97" s="26">
        <f t="shared" si="24"/>
        <v>101300</v>
      </c>
      <c r="K97" s="26">
        <f t="shared" si="25"/>
        <v>2.0124824921938581E-5</v>
      </c>
      <c r="L97" s="20">
        <v>440.21782178217825</v>
      </c>
      <c r="M97" s="27">
        <f t="shared" si="26"/>
        <v>4.4021782178217824E-4</v>
      </c>
      <c r="N97" s="29">
        <f t="shared" si="27"/>
        <v>4.7762865441819992E-3</v>
      </c>
      <c r="O97" s="27">
        <f t="shared" si="28"/>
        <v>1.8548524065573557E-6</v>
      </c>
      <c r="P97" s="27">
        <f t="shared" si="36"/>
        <v>1.066660513542373E+16</v>
      </c>
      <c r="Q97" s="21">
        <f t="shared" si="30"/>
        <v>2.032E-3</v>
      </c>
      <c r="R97" s="21">
        <v>1.94149580791897E-10</v>
      </c>
      <c r="S97" s="2">
        <v>0.32</v>
      </c>
      <c r="T97" s="27">
        <f t="shared" si="31"/>
        <v>132000</v>
      </c>
      <c r="U97" s="2">
        <v>5.36358238306597E-3</v>
      </c>
      <c r="V97" s="11">
        <v>0.11</v>
      </c>
      <c r="W97" s="30">
        <f t="shared" si="32"/>
        <v>111000.00000000001</v>
      </c>
      <c r="X97" s="30">
        <f t="shared" si="19"/>
        <v>48.864178217821788</v>
      </c>
      <c r="Y97" s="11">
        <f t="shared" si="33"/>
        <v>697.14313655853095</v>
      </c>
      <c r="Z97" s="9">
        <f t="shared" si="34"/>
        <v>7.5768752703876212E-14</v>
      </c>
      <c r="AA97" s="9">
        <f t="shared" si="35"/>
        <v>45627942878.274254</v>
      </c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</row>
    <row r="98" spans="1:78" s="4" customFormat="1" x14ac:dyDescent="0.3">
      <c r="A98" s="26">
        <v>288</v>
      </c>
      <c r="B98" s="1">
        <f t="shared" si="20"/>
        <v>17280</v>
      </c>
      <c r="C98" s="26">
        <f t="shared" si="21"/>
        <v>4.8</v>
      </c>
      <c r="D98" s="26">
        <v>20</v>
      </c>
      <c r="E98" s="26">
        <f t="shared" si="18"/>
        <v>29.146000000000001</v>
      </c>
      <c r="F98" s="26">
        <f t="shared" si="22"/>
        <v>4.8576666666666667E-7</v>
      </c>
      <c r="G98" s="26">
        <v>21.1</v>
      </c>
      <c r="H98" s="26">
        <f t="shared" si="23"/>
        <v>294.10000000000002</v>
      </c>
      <c r="I98" s="26">
        <v>101.3</v>
      </c>
      <c r="J98" s="26">
        <f t="shared" si="24"/>
        <v>101300</v>
      </c>
      <c r="K98" s="26">
        <f t="shared" si="25"/>
        <v>2.0124824921938581E-5</v>
      </c>
      <c r="L98" s="20">
        <v>441.43069306930693</v>
      </c>
      <c r="M98" s="27">
        <f t="shared" si="26"/>
        <v>4.4143069306930695E-4</v>
      </c>
      <c r="N98" s="29">
        <f t="shared" si="27"/>
        <v>4.7762865441819992E-3</v>
      </c>
      <c r="O98" s="27">
        <f t="shared" si="28"/>
        <v>1.8599628248876891E-6</v>
      </c>
      <c r="P98" s="27">
        <f t="shared" si="36"/>
        <v>1.0695993357480528E+16</v>
      </c>
      <c r="Q98" s="21">
        <f t="shared" si="30"/>
        <v>2.032E-3</v>
      </c>
      <c r="R98" s="21">
        <v>1.94149580791897E-10</v>
      </c>
      <c r="S98" s="2">
        <v>0.32</v>
      </c>
      <c r="T98" s="27">
        <f t="shared" si="31"/>
        <v>132000</v>
      </c>
      <c r="U98" s="2">
        <v>5.36358238306597E-3</v>
      </c>
      <c r="V98" s="11">
        <v>0.11</v>
      </c>
      <c r="W98" s="30">
        <f t="shared" si="32"/>
        <v>111000.00000000001</v>
      </c>
      <c r="X98" s="30">
        <f t="shared" si="19"/>
        <v>48.998806930693078</v>
      </c>
      <c r="Y98" s="11">
        <f t="shared" si="33"/>
        <v>700.47973920818049</v>
      </c>
      <c r="Z98" s="9">
        <f t="shared" si="34"/>
        <v>7.59794386217894E-14</v>
      </c>
      <c r="AA98" s="9">
        <f t="shared" si="35"/>
        <v>45754817938.04158</v>
      </c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</row>
    <row r="99" spans="1:78" s="4" customFormat="1" x14ac:dyDescent="0.3">
      <c r="A99" s="26">
        <v>291</v>
      </c>
      <c r="B99" s="1">
        <f t="shared" si="20"/>
        <v>17460</v>
      </c>
      <c r="C99" s="26">
        <f t="shared" si="21"/>
        <v>4.8499999999999996</v>
      </c>
      <c r="D99" s="26">
        <v>20</v>
      </c>
      <c r="E99" s="26">
        <f t="shared" si="18"/>
        <v>29.146000000000001</v>
      </c>
      <c r="F99" s="26">
        <f t="shared" si="22"/>
        <v>4.8576666666666667E-7</v>
      </c>
      <c r="G99" s="26">
        <v>21.1</v>
      </c>
      <c r="H99" s="26">
        <f t="shared" si="23"/>
        <v>294.10000000000002</v>
      </c>
      <c r="I99" s="26">
        <v>101.3</v>
      </c>
      <c r="J99" s="26">
        <f t="shared" si="24"/>
        <v>101300</v>
      </c>
      <c r="K99" s="26">
        <f t="shared" si="25"/>
        <v>2.0124824921938581E-5</v>
      </c>
      <c r="L99" s="20">
        <v>430.34158415841586</v>
      </c>
      <c r="M99" s="27">
        <f t="shared" si="26"/>
        <v>4.3034158415841586E-4</v>
      </c>
      <c r="N99" s="29">
        <f t="shared" si="27"/>
        <v>4.7762865441819992E-3</v>
      </c>
      <c r="O99" s="27">
        <f t="shared" si="28"/>
        <v>1.8132390001532137E-6</v>
      </c>
      <c r="P99" s="27">
        <f t="shared" si="36"/>
        <v>1.042730104153265E+16</v>
      </c>
      <c r="Q99" s="21">
        <f t="shared" si="30"/>
        <v>2.032E-3</v>
      </c>
      <c r="R99" s="21">
        <v>1.94149580791897E-10</v>
      </c>
      <c r="S99" s="2">
        <v>0.32</v>
      </c>
      <c r="T99" s="27">
        <f t="shared" si="31"/>
        <v>132000</v>
      </c>
      <c r="U99" s="2">
        <v>5.36358238306597E-3</v>
      </c>
      <c r="V99" s="11">
        <v>0.11</v>
      </c>
      <c r="W99" s="30">
        <f t="shared" si="32"/>
        <v>111000.00000000001</v>
      </c>
      <c r="X99" s="30">
        <f t="shared" si="19"/>
        <v>47.76791584158417</v>
      </c>
      <c r="Y99" s="11">
        <f t="shared" si="33"/>
        <v>670.24435003055191</v>
      </c>
      <c r="Z99" s="9">
        <f t="shared" si="34"/>
        <v>7.4053718514721022E-14</v>
      </c>
      <c r="AA99" s="9">
        <f t="shared" si="35"/>
        <v>44595149289.565002</v>
      </c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</row>
    <row r="100" spans="1:78" s="4" customFormat="1" x14ac:dyDescent="0.3">
      <c r="A100" s="26">
        <v>294</v>
      </c>
      <c r="B100" s="1">
        <f t="shared" si="20"/>
        <v>17640</v>
      </c>
      <c r="C100" s="26">
        <f t="shared" si="21"/>
        <v>4.9000000000000004</v>
      </c>
      <c r="D100" s="26">
        <v>20</v>
      </c>
      <c r="E100" s="26">
        <f t="shared" si="18"/>
        <v>29.146000000000001</v>
      </c>
      <c r="F100" s="26">
        <f t="shared" si="22"/>
        <v>4.8576666666666667E-7</v>
      </c>
      <c r="G100" s="26">
        <v>21.1</v>
      </c>
      <c r="H100" s="26">
        <f t="shared" si="23"/>
        <v>294.10000000000002</v>
      </c>
      <c r="I100" s="26">
        <v>101.3</v>
      </c>
      <c r="J100" s="26">
        <f t="shared" si="24"/>
        <v>101300</v>
      </c>
      <c r="K100" s="26">
        <f t="shared" si="25"/>
        <v>2.0124824921938581E-5</v>
      </c>
      <c r="L100" s="20">
        <v>431.65346534653469</v>
      </c>
      <c r="M100" s="27">
        <f t="shared" si="26"/>
        <v>4.3165346534653468E-4</v>
      </c>
      <c r="N100" s="29">
        <f t="shared" si="27"/>
        <v>4.7762865441819992E-3</v>
      </c>
      <c r="O100" s="27">
        <f t="shared" si="28"/>
        <v>1.818766595490105E-6</v>
      </c>
      <c r="P100" s="27">
        <f t="shared" si="36"/>
        <v>1.04590883021247E+16</v>
      </c>
      <c r="Q100" s="21">
        <f t="shared" si="30"/>
        <v>2.032E-3</v>
      </c>
      <c r="R100" s="21">
        <v>1.94149580791897E-10</v>
      </c>
      <c r="S100" s="2">
        <v>0.32</v>
      </c>
      <c r="T100" s="27">
        <f t="shared" si="31"/>
        <v>132000</v>
      </c>
      <c r="U100" s="2">
        <v>5.36358238306597E-3</v>
      </c>
      <c r="V100" s="11">
        <v>0.11</v>
      </c>
      <c r="W100" s="30">
        <f t="shared" si="32"/>
        <v>111000.00000000001</v>
      </c>
      <c r="X100" s="30">
        <f t="shared" si="19"/>
        <v>47.913534653465355</v>
      </c>
      <c r="Y100" s="11">
        <f t="shared" si="33"/>
        <v>673.78957957385171</v>
      </c>
      <c r="Z100" s="9">
        <f t="shared" si="34"/>
        <v>7.4281473890472621E-14</v>
      </c>
      <c r="AA100" s="9">
        <f t="shared" si="35"/>
        <v>44732303576.842613</v>
      </c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</row>
    <row r="101" spans="1:78" s="4" customFormat="1" x14ac:dyDescent="0.3">
      <c r="A101" s="26">
        <v>297</v>
      </c>
      <c r="B101" s="1">
        <f t="shared" si="20"/>
        <v>17820</v>
      </c>
      <c r="C101" s="26">
        <f t="shared" si="21"/>
        <v>4.95</v>
      </c>
      <c r="D101" s="26">
        <v>20</v>
      </c>
      <c r="E101" s="26">
        <f t="shared" si="18"/>
        <v>29.146000000000001</v>
      </c>
      <c r="F101" s="26">
        <f t="shared" si="22"/>
        <v>4.8576666666666667E-7</v>
      </c>
      <c r="G101" s="26">
        <v>21.1</v>
      </c>
      <c r="H101" s="26">
        <f t="shared" si="23"/>
        <v>294.10000000000002</v>
      </c>
      <c r="I101" s="26">
        <v>101.3</v>
      </c>
      <c r="J101" s="26">
        <f t="shared" si="24"/>
        <v>101300</v>
      </c>
      <c r="K101" s="26">
        <f t="shared" si="25"/>
        <v>2.0124824921938581E-5</v>
      </c>
      <c r="L101" s="20">
        <v>431.85148514851488</v>
      </c>
      <c r="M101" s="27">
        <f t="shared" si="26"/>
        <v>4.3185148514851486E-4</v>
      </c>
      <c r="N101" s="29">
        <f t="shared" si="27"/>
        <v>4.7762865441819992E-3</v>
      </c>
      <c r="O101" s="27">
        <f t="shared" si="28"/>
        <v>1.8196009495032204E-6</v>
      </c>
      <c r="P101" s="27">
        <f t="shared" si="36"/>
        <v>1.0463886379195196E+16</v>
      </c>
      <c r="Q101" s="21">
        <f t="shared" si="30"/>
        <v>2.032E-3</v>
      </c>
      <c r="R101" s="21">
        <v>1.94149580791897E-10</v>
      </c>
      <c r="S101" s="2">
        <v>0.32</v>
      </c>
      <c r="T101" s="27">
        <f t="shared" si="31"/>
        <v>132000</v>
      </c>
      <c r="U101" s="2">
        <v>5.36358238306597E-3</v>
      </c>
      <c r="V101" s="11">
        <v>0.11</v>
      </c>
      <c r="W101" s="30">
        <f t="shared" si="32"/>
        <v>111000.00000000001</v>
      </c>
      <c r="X101" s="30">
        <f t="shared" si="19"/>
        <v>47.935514851485159</v>
      </c>
      <c r="Y101" s="11">
        <f t="shared" si="33"/>
        <v>674.32544866076421</v>
      </c>
      <c r="Z101" s="9">
        <f t="shared" si="34"/>
        <v>7.4315853547359963E-14</v>
      </c>
      <c r="AA101" s="9">
        <f t="shared" si="35"/>
        <v>44753007006.220169</v>
      </c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</row>
    <row r="102" spans="1:78" s="4" customFormat="1" x14ac:dyDescent="0.3">
      <c r="A102" s="26">
        <v>300</v>
      </c>
      <c r="B102" s="1">
        <f t="shared" si="20"/>
        <v>18000</v>
      </c>
      <c r="C102" s="26">
        <f t="shared" si="21"/>
        <v>5</v>
      </c>
      <c r="D102" s="26">
        <v>20</v>
      </c>
      <c r="E102" s="26">
        <f t="shared" si="18"/>
        <v>29.146000000000001</v>
      </c>
      <c r="F102" s="26">
        <f t="shared" si="22"/>
        <v>4.8576666666666667E-7</v>
      </c>
      <c r="G102" s="26">
        <v>21.1</v>
      </c>
      <c r="H102" s="26">
        <f t="shared" si="23"/>
        <v>294.10000000000002</v>
      </c>
      <c r="I102" s="26">
        <v>101.3</v>
      </c>
      <c r="J102" s="26">
        <f t="shared" si="24"/>
        <v>101300</v>
      </c>
      <c r="K102" s="26">
        <f t="shared" si="25"/>
        <v>2.0124824921938581E-5</v>
      </c>
      <c r="L102" s="20">
        <v>436.3564356435644</v>
      </c>
      <c r="M102" s="27">
        <f t="shared" si="26"/>
        <v>4.363564356435644E-4</v>
      </c>
      <c r="N102" s="29">
        <f t="shared" si="27"/>
        <v>4.7762865441819992E-3</v>
      </c>
      <c r="O102" s="27">
        <f t="shared" si="28"/>
        <v>1.8385825033016011E-6</v>
      </c>
      <c r="P102" s="27">
        <f t="shared" si="36"/>
        <v>1.0573042632549022E+16</v>
      </c>
      <c r="Q102" s="21">
        <f t="shared" si="30"/>
        <v>2.032E-3</v>
      </c>
      <c r="R102" s="21">
        <v>1.94149580791897E-10</v>
      </c>
      <c r="S102" s="2">
        <v>0.32</v>
      </c>
      <c r="T102" s="27">
        <f t="shared" si="31"/>
        <v>132000</v>
      </c>
      <c r="U102" s="2">
        <v>5.36358238306597E-3</v>
      </c>
      <c r="V102" s="11">
        <v>0.11</v>
      </c>
      <c r="W102" s="30">
        <f t="shared" si="32"/>
        <v>111000.00000000001</v>
      </c>
      <c r="X102" s="30">
        <f t="shared" si="19"/>
        <v>48.435564356435655</v>
      </c>
      <c r="Y102" s="11">
        <f t="shared" si="33"/>
        <v>686.5688882900613</v>
      </c>
      <c r="Z102" s="9">
        <f t="shared" si="34"/>
        <v>7.5098096523977006E-14</v>
      </c>
      <c r="AA102" s="9">
        <f t="shared" si="35"/>
        <v>45224073726.738953</v>
      </c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</row>
    <row r="103" spans="1:78" s="4" customFormat="1" x14ac:dyDescent="0.3">
      <c r="A103" s="26">
        <v>303</v>
      </c>
      <c r="B103" s="1">
        <f t="shared" si="20"/>
        <v>18180</v>
      </c>
      <c r="C103" s="26">
        <f t="shared" si="21"/>
        <v>5.05</v>
      </c>
      <c r="D103" s="26">
        <v>20</v>
      </c>
      <c r="E103" s="26">
        <f t="shared" si="18"/>
        <v>29.146000000000001</v>
      </c>
      <c r="F103" s="26">
        <f t="shared" si="22"/>
        <v>4.8576666666666667E-7</v>
      </c>
      <c r="G103" s="26">
        <v>21.1</v>
      </c>
      <c r="H103" s="26">
        <f t="shared" si="23"/>
        <v>294.10000000000002</v>
      </c>
      <c r="I103" s="26">
        <v>101.3</v>
      </c>
      <c r="J103" s="26">
        <f t="shared" si="24"/>
        <v>101300</v>
      </c>
      <c r="K103" s="26">
        <f t="shared" si="25"/>
        <v>2.0124824921938581E-5</v>
      </c>
      <c r="L103" s="20">
        <v>427.27227722772284</v>
      </c>
      <c r="M103" s="27">
        <f t="shared" si="26"/>
        <v>4.2727227722772285E-4</v>
      </c>
      <c r="N103" s="29">
        <f t="shared" si="27"/>
        <v>4.7762865441819992E-3</v>
      </c>
      <c r="O103" s="27">
        <f t="shared" si="28"/>
        <v>1.8003065129499217E-6</v>
      </c>
      <c r="P103" s="27">
        <f t="shared" si="36"/>
        <v>1.0352930846939934E+16</v>
      </c>
      <c r="Q103" s="21">
        <f t="shared" si="30"/>
        <v>2.032E-3</v>
      </c>
      <c r="R103" s="21">
        <v>1.94149580791897E-10</v>
      </c>
      <c r="S103" s="2">
        <v>0.32</v>
      </c>
      <c r="T103" s="27">
        <f t="shared" si="31"/>
        <v>132000</v>
      </c>
      <c r="U103" s="2">
        <v>5.36358238306597E-3</v>
      </c>
      <c r="V103" s="11">
        <v>0.11</v>
      </c>
      <c r="W103" s="30">
        <f t="shared" si="32"/>
        <v>111000.00000000001</v>
      </c>
      <c r="X103" s="30">
        <f t="shared" si="19"/>
        <v>47.42722277227724</v>
      </c>
      <c r="Y103" s="11">
        <f t="shared" si="33"/>
        <v>661.98314965922873</v>
      </c>
      <c r="Z103" s="9">
        <f t="shared" si="34"/>
        <v>7.352092355696381E-14</v>
      </c>
      <c r="AA103" s="9">
        <f t="shared" si="35"/>
        <v>44274300166.003609</v>
      </c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</row>
    <row r="104" spans="1:78" s="4" customFormat="1" x14ac:dyDescent="0.3">
      <c r="A104" s="26">
        <v>306</v>
      </c>
      <c r="B104" s="1">
        <f t="shared" si="20"/>
        <v>18360</v>
      </c>
      <c r="C104" s="26">
        <f t="shared" si="21"/>
        <v>5.0999999999999996</v>
      </c>
      <c r="D104" s="26">
        <v>20</v>
      </c>
      <c r="E104" s="26">
        <f t="shared" si="18"/>
        <v>29.146000000000001</v>
      </c>
      <c r="F104" s="26">
        <f t="shared" si="22"/>
        <v>4.8576666666666667E-7</v>
      </c>
      <c r="G104" s="26">
        <v>21.1</v>
      </c>
      <c r="H104" s="26">
        <f t="shared" si="23"/>
        <v>294.10000000000002</v>
      </c>
      <c r="I104" s="26">
        <v>101.3</v>
      </c>
      <c r="J104" s="26">
        <f t="shared" si="24"/>
        <v>101300</v>
      </c>
      <c r="K104" s="26">
        <f t="shared" si="25"/>
        <v>2.0124824921938581E-5</v>
      </c>
      <c r="L104" s="20">
        <v>435.11881188118815</v>
      </c>
      <c r="M104" s="27">
        <f t="shared" si="26"/>
        <v>4.3511881188118816E-4</v>
      </c>
      <c r="N104" s="29">
        <f t="shared" si="27"/>
        <v>4.7762865441819992E-3</v>
      </c>
      <c r="O104" s="27">
        <f t="shared" si="28"/>
        <v>1.8333677907196283E-6</v>
      </c>
      <c r="P104" s="27">
        <f t="shared" si="36"/>
        <v>1.054305465085841E+16</v>
      </c>
      <c r="Q104" s="21">
        <f t="shared" si="30"/>
        <v>2.032E-3</v>
      </c>
      <c r="R104" s="21">
        <v>1.94149580791897E-10</v>
      </c>
      <c r="S104" s="2">
        <v>0.32</v>
      </c>
      <c r="T104" s="27">
        <f t="shared" si="31"/>
        <v>132000</v>
      </c>
      <c r="U104" s="2">
        <v>5.36358238306597E-3</v>
      </c>
      <c r="V104" s="11">
        <v>0.11</v>
      </c>
      <c r="W104" s="30">
        <f t="shared" si="32"/>
        <v>111000.00000000001</v>
      </c>
      <c r="X104" s="30">
        <f t="shared" si="19"/>
        <v>48.298188118811893</v>
      </c>
      <c r="Y104" s="11">
        <f t="shared" si="33"/>
        <v>683.19530424968741</v>
      </c>
      <c r="Z104" s="9">
        <f t="shared" si="34"/>
        <v>7.4883174371837314E-14</v>
      </c>
      <c r="AA104" s="9">
        <f t="shared" si="35"/>
        <v>45094647606.720436</v>
      </c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</row>
    <row r="105" spans="1:78" s="4" customFormat="1" x14ac:dyDescent="0.3">
      <c r="A105" s="26">
        <v>309</v>
      </c>
      <c r="B105" s="1">
        <f t="shared" si="20"/>
        <v>18540</v>
      </c>
      <c r="C105" s="26">
        <f t="shared" si="21"/>
        <v>5.15</v>
      </c>
      <c r="D105" s="26">
        <v>20</v>
      </c>
      <c r="E105" s="26">
        <f t="shared" si="18"/>
        <v>29.146000000000001</v>
      </c>
      <c r="F105" s="26">
        <f t="shared" si="22"/>
        <v>4.8576666666666667E-7</v>
      </c>
      <c r="G105" s="26">
        <v>21.1</v>
      </c>
      <c r="H105" s="26">
        <f t="shared" si="23"/>
        <v>294.10000000000002</v>
      </c>
      <c r="I105" s="26">
        <v>101.3</v>
      </c>
      <c r="J105" s="26">
        <f t="shared" si="24"/>
        <v>101300</v>
      </c>
      <c r="K105" s="26">
        <f t="shared" si="25"/>
        <v>2.0124824921938581E-5</v>
      </c>
      <c r="L105" s="20">
        <v>428.33663366336634</v>
      </c>
      <c r="M105" s="27">
        <f t="shared" si="26"/>
        <v>4.2833663366336633E-4</v>
      </c>
      <c r="N105" s="29">
        <f t="shared" si="27"/>
        <v>4.7762865441819992E-3</v>
      </c>
      <c r="O105" s="27">
        <f t="shared" si="28"/>
        <v>1.8047911657704181E-6</v>
      </c>
      <c r="P105" s="27">
        <f t="shared" si="36"/>
        <v>1.0378720511193858E+16</v>
      </c>
      <c r="Q105" s="21">
        <f t="shared" si="30"/>
        <v>2.032E-3</v>
      </c>
      <c r="R105" s="21">
        <v>1.94149580791897E-10</v>
      </c>
      <c r="S105" s="2">
        <v>0.32</v>
      </c>
      <c r="T105" s="27">
        <f t="shared" si="31"/>
        <v>132000</v>
      </c>
      <c r="U105" s="2">
        <v>5.36358238306597E-3</v>
      </c>
      <c r="V105" s="11">
        <v>0.11</v>
      </c>
      <c r="W105" s="30">
        <f t="shared" si="32"/>
        <v>111000.00000000001</v>
      </c>
      <c r="X105" s="30">
        <f t="shared" si="19"/>
        <v>47.54536633663367</v>
      </c>
      <c r="Y105" s="11">
        <f t="shared" si="33"/>
        <v>664.84263497737777</v>
      </c>
      <c r="Z105" s="9">
        <f t="shared" si="34"/>
        <v>7.370567254078868E-14</v>
      </c>
      <c r="AA105" s="9">
        <f t="shared" si="35"/>
        <v>44385556004.062943</v>
      </c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</row>
    <row r="106" spans="1:78" s="4" customFormat="1" x14ac:dyDescent="0.3">
      <c r="A106" s="26">
        <v>312</v>
      </c>
      <c r="B106" s="1">
        <f t="shared" si="20"/>
        <v>18720</v>
      </c>
      <c r="C106" s="26">
        <f t="shared" si="21"/>
        <v>5.2</v>
      </c>
      <c r="D106" s="26">
        <v>20</v>
      </c>
      <c r="E106" s="26">
        <f t="shared" si="18"/>
        <v>29.146000000000001</v>
      </c>
      <c r="F106" s="26">
        <f t="shared" si="22"/>
        <v>4.8576666666666667E-7</v>
      </c>
      <c r="G106" s="26">
        <v>21.1</v>
      </c>
      <c r="H106" s="26">
        <f t="shared" si="23"/>
        <v>294.10000000000002</v>
      </c>
      <c r="I106" s="26">
        <v>101.3</v>
      </c>
      <c r="J106" s="26">
        <f t="shared" si="24"/>
        <v>101300</v>
      </c>
      <c r="K106" s="26">
        <f t="shared" si="25"/>
        <v>2.0124824921938581E-5</v>
      </c>
      <c r="L106" s="20">
        <v>429.30198019801986</v>
      </c>
      <c r="M106" s="27">
        <f t="shared" si="26"/>
        <v>4.2930198019801985E-4</v>
      </c>
      <c r="N106" s="29">
        <f t="shared" si="27"/>
        <v>4.7762865441819992E-3</v>
      </c>
      <c r="O106" s="27">
        <f t="shared" si="28"/>
        <v>1.8088586415843568E-6</v>
      </c>
      <c r="P106" s="27">
        <f t="shared" si="36"/>
        <v>1.0402111136912536E+16</v>
      </c>
      <c r="Q106" s="21">
        <f t="shared" si="30"/>
        <v>2.032E-3</v>
      </c>
      <c r="R106" s="21">
        <v>1.94149580791897E-10</v>
      </c>
      <c r="S106" s="2">
        <v>0.32</v>
      </c>
      <c r="T106" s="27">
        <f t="shared" si="31"/>
        <v>132000</v>
      </c>
      <c r="U106" s="2">
        <v>5.36358238306597E-3</v>
      </c>
      <c r="V106" s="11">
        <v>0.11</v>
      </c>
      <c r="W106" s="30">
        <f t="shared" si="32"/>
        <v>111000.00000000001</v>
      </c>
      <c r="X106" s="30">
        <f t="shared" si="19"/>
        <v>47.652519801980212</v>
      </c>
      <c r="Y106" s="11">
        <f t="shared" si="33"/>
        <v>667.440975346767</v>
      </c>
      <c r="Z106" s="9">
        <f t="shared" si="34"/>
        <v>7.3873245260052258E-14</v>
      </c>
      <c r="AA106" s="9">
        <f t="shared" si="35"/>
        <v>44486468295.60347</v>
      </c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</row>
    <row r="107" spans="1:78" s="4" customFormat="1" x14ac:dyDescent="0.3">
      <c r="A107" s="26">
        <v>315</v>
      </c>
      <c r="B107" s="1">
        <f t="shared" si="20"/>
        <v>18900</v>
      </c>
      <c r="C107" s="26">
        <f t="shared" si="21"/>
        <v>5.25</v>
      </c>
      <c r="D107" s="26">
        <v>20</v>
      </c>
      <c r="E107" s="26">
        <f t="shared" si="18"/>
        <v>29.146000000000001</v>
      </c>
      <c r="F107" s="26">
        <f t="shared" si="22"/>
        <v>4.8576666666666667E-7</v>
      </c>
      <c r="G107" s="26">
        <v>21.1</v>
      </c>
      <c r="H107" s="26">
        <f t="shared" si="23"/>
        <v>294.10000000000002</v>
      </c>
      <c r="I107" s="26">
        <v>101.3</v>
      </c>
      <c r="J107" s="26">
        <f t="shared" si="24"/>
        <v>101300</v>
      </c>
      <c r="K107" s="26">
        <f t="shared" si="25"/>
        <v>2.0124824921938581E-5</v>
      </c>
      <c r="L107" s="20">
        <v>454.10396039603961</v>
      </c>
      <c r="M107" s="27">
        <f t="shared" si="26"/>
        <v>4.5410396039603963E-4</v>
      </c>
      <c r="N107" s="29">
        <f t="shared" si="27"/>
        <v>4.7762865441819992E-3</v>
      </c>
      <c r="O107" s="27">
        <f t="shared" si="28"/>
        <v>1.913361481727089E-6</v>
      </c>
      <c r="P107" s="27">
        <f t="shared" si="36"/>
        <v>1.1003070289992386E+16</v>
      </c>
      <c r="Q107" s="21">
        <f t="shared" si="30"/>
        <v>2.032E-3</v>
      </c>
      <c r="R107" s="21">
        <v>1.94149580791897E-10</v>
      </c>
      <c r="S107" s="2">
        <v>0.32</v>
      </c>
      <c r="T107" s="27">
        <f t="shared" si="31"/>
        <v>132000</v>
      </c>
      <c r="U107" s="2">
        <v>5.36358238306597E-3</v>
      </c>
      <c r="V107" s="11">
        <v>0.11</v>
      </c>
      <c r="W107" s="30">
        <f t="shared" si="32"/>
        <v>111000.00000000001</v>
      </c>
      <c r="X107" s="30">
        <f t="shared" si="19"/>
        <v>50.405539603960406</v>
      </c>
      <c r="Y107" s="11">
        <f t="shared" si="33"/>
        <v>735.77797261105616</v>
      </c>
      <c r="Z107" s="9">
        <f t="shared" si="34"/>
        <v>7.8181790721976753E-14</v>
      </c>
      <c r="AA107" s="9">
        <f t="shared" si="35"/>
        <v>47081074372.774406</v>
      </c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</row>
    <row r="108" spans="1:78" s="4" customFormat="1" x14ac:dyDescent="0.3">
      <c r="A108" s="26">
        <v>318</v>
      </c>
      <c r="B108" s="1">
        <f t="shared" si="20"/>
        <v>19080</v>
      </c>
      <c r="C108" s="26">
        <f t="shared" si="21"/>
        <v>5.3</v>
      </c>
      <c r="D108" s="26">
        <v>20</v>
      </c>
      <c r="E108" s="26">
        <f t="shared" si="18"/>
        <v>29.146000000000001</v>
      </c>
      <c r="F108" s="26">
        <f t="shared" si="22"/>
        <v>4.8576666666666667E-7</v>
      </c>
      <c r="G108" s="26">
        <v>21.1</v>
      </c>
      <c r="H108" s="26">
        <f t="shared" si="23"/>
        <v>294.10000000000002</v>
      </c>
      <c r="I108" s="26">
        <v>101.3</v>
      </c>
      <c r="J108" s="26">
        <f t="shared" si="24"/>
        <v>101300</v>
      </c>
      <c r="K108" s="26">
        <f t="shared" si="25"/>
        <v>2.0124824921938581E-5</v>
      </c>
      <c r="L108" s="20">
        <v>443.60891089108918</v>
      </c>
      <c r="M108" s="27">
        <f t="shared" si="26"/>
        <v>4.4360891089108919E-4</v>
      </c>
      <c r="N108" s="29">
        <f t="shared" si="27"/>
        <v>4.7762865441819992E-3</v>
      </c>
      <c r="O108" s="27">
        <f t="shared" si="28"/>
        <v>1.8691407190319611E-6</v>
      </c>
      <c r="P108" s="27">
        <f t="shared" si="36"/>
        <v>1.0748772205256006E+16</v>
      </c>
      <c r="Q108" s="21">
        <f t="shared" si="30"/>
        <v>2.032E-3</v>
      </c>
      <c r="R108" s="21">
        <v>1.94149580791897E-10</v>
      </c>
      <c r="S108" s="2">
        <v>0.32</v>
      </c>
      <c r="T108" s="27">
        <f t="shared" si="31"/>
        <v>132000</v>
      </c>
      <c r="U108" s="2">
        <v>5.36358238306597E-3</v>
      </c>
      <c r="V108" s="11">
        <v>0.11</v>
      </c>
      <c r="W108" s="30">
        <f t="shared" si="32"/>
        <v>111000.00000000001</v>
      </c>
      <c r="X108" s="30">
        <f t="shared" si="19"/>
        <v>49.240589108910903</v>
      </c>
      <c r="Y108" s="11">
        <f t="shared" si="33"/>
        <v>706.49024255923484</v>
      </c>
      <c r="Z108" s="9">
        <f t="shared" si="34"/>
        <v>7.6357850822880637E-14</v>
      </c>
      <c r="AA108" s="9">
        <f t="shared" si="35"/>
        <v>45982697765.538719</v>
      </c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</row>
    <row r="109" spans="1:78" s="4" customFormat="1" x14ac:dyDescent="0.3">
      <c r="A109" s="26">
        <v>321</v>
      </c>
      <c r="B109" s="1">
        <f t="shared" si="20"/>
        <v>19260</v>
      </c>
      <c r="C109" s="26">
        <f t="shared" si="21"/>
        <v>5.35</v>
      </c>
      <c r="D109" s="26">
        <v>20</v>
      </c>
      <c r="E109" s="26">
        <f t="shared" si="18"/>
        <v>29.146000000000001</v>
      </c>
      <c r="F109" s="26">
        <f t="shared" si="22"/>
        <v>4.8576666666666667E-7</v>
      </c>
      <c r="G109" s="26">
        <v>21.1</v>
      </c>
      <c r="H109" s="26">
        <f t="shared" si="23"/>
        <v>294.10000000000002</v>
      </c>
      <c r="I109" s="26">
        <v>101.3</v>
      </c>
      <c r="J109" s="26">
        <f t="shared" si="24"/>
        <v>101300</v>
      </c>
      <c r="K109" s="26">
        <f t="shared" si="25"/>
        <v>2.0124824921938581E-5</v>
      </c>
      <c r="L109" s="20">
        <v>437.64356435643572</v>
      </c>
      <c r="M109" s="27">
        <f t="shared" si="26"/>
        <v>4.376435643564357E-4</v>
      </c>
      <c r="N109" s="29">
        <f t="shared" si="27"/>
        <v>4.7762865441819992E-3</v>
      </c>
      <c r="O109" s="27">
        <f t="shared" si="28"/>
        <v>1.8440058043868526E-6</v>
      </c>
      <c r="P109" s="27">
        <f t="shared" si="36"/>
        <v>1.0604230133507258E+16</v>
      </c>
      <c r="Q109" s="21">
        <f t="shared" si="30"/>
        <v>2.032E-3</v>
      </c>
      <c r="R109" s="21">
        <v>1.94149580791897E-10</v>
      </c>
      <c r="S109" s="2">
        <v>0.32</v>
      </c>
      <c r="T109" s="27">
        <f t="shared" si="31"/>
        <v>132000</v>
      </c>
      <c r="U109" s="2">
        <v>5.36358238306597E-3</v>
      </c>
      <c r="V109" s="11">
        <v>0.11</v>
      </c>
      <c r="W109" s="30">
        <f t="shared" si="32"/>
        <v>111000.00000000001</v>
      </c>
      <c r="X109" s="30">
        <f t="shared" si="19"/>
        <v>48.578435643564369</v>
      </c>
      <c r="Y109" s="11">
        <f t="shared" si="33"/>
        <v>690.08544963466511</v>
      </c>
      <c r="Z109" s="9">
        <f t="shared" si="34"/>
        <v>7.5321631885512476E-14</v>
      </c>
      <c r="AA109" s="9">
        <f t="shared" si="35"/>
        <v>45358686721.455612</v>
      </c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</row>
    <row r="110" spans="1:78" s="4" customFormat="1" x14ac:dyDescent="0.3">
      <c r="A110" s="26">
        <v>324</v>
      </c>
      <c r="B110" s="1">
        <f t="shared" si="20"/>
        <v>19440</v>
      </c>
      <c r="C110" s="26">
        <f t="shared" si="21"/>
        <v>5.4</v>
      </c>
      <c r="D110" s="26">
        <v>20</v>
      </c>
      <c r="E110" s="26">
        <f t="shared" si="18"/>
        <v>29.146000000000001</v>
      </c>
      <c r="F110" s="26">
        <f t="shared" si="22"/>
        <v>4.8576666666666667E-7</v>
      </c>
      <c r="G110" s="26">
        <v>21.1</v>
      </c>
      <c r="H110" s="26">
        <f t="shared" si="23"/>
        <v>294.10000000000002</v>
      </c>
      <c r="I110" s="26">
        <v>101.3</v>
      </c>
      <c r="J110" s="26">
        <f t="shared" si="24"/>
        <v>101300</v>
      </c>
      <c r="K110" s="26">
        <f t="shared" si="25"/>
        <v>2.0124824921938581E-5</v>
      </c>
      <c r="L110" s="20">
        <v>433.03960396039611</v>
      </c>
      <c r="M110" s="27">
        <f t="shared" si="26"/>
        <v>4.330396039603961E-4</v>
      </c>
      <c r="N110" s="29">
        <f t="shared" si="27"/>
        <v>4.7762865441819992E-3</v>
      </c>
      <c r="O110" s="27">
        <f t="shared" si="28"/>
        <v>1.8246070735819142E-6</v>
      </c>
      <c r="P110" s="27">
        <f t="shared" si="36"/>
        <v>1.0492674841618184E+16</v>
      </c>
      <c r="Q110" s="21">
        <f t="shared" si="30"/>
        <v>2.032E-3</v>
      </c>
      <c r="R110" s="21">
        <v>1.94149580791897E-10</v>
      </c>
      <c r="S110" s="2">
        <v>0.32</v>
      </c>
      <c r="T110" s="27">
        <f t="shared" si="31"/>
        <v>132000</v>
      </c>
      <c r="U110" s="2">
        <v>5.36358238306597E-3</v>
      </c>
      <c r="V110" s="11">
        <v>0.11</v>
      </c>
      <c r="W110" s="30">
        <f t="shared" si="32"/>
        <v>111000.00000000001</v>
      </c>
      <c r="X110" s="30">
        <f t="shared" si="19"/>
        <v>48.06739603960397</v>
      </c>
      <c r="Y110" s="11">
        <f t="shared" si="33"/>
        <v>677.54473888475434</v>
      </c>
      <c r="Z110" s="9">
        <f t="shared" si="34"/>
        <v>7.4522139693646777E-14</v>
      </c>
      <c r="AA110" s="9">
        <f t="shared" si="35"/>
        <v>44877232523.514091</v>
      </c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</row>
    <row r="111" spans="1:78" s="4" customFormat="1" x14ac:dyDescent="0.3">
      <c r="A111" s="26">
        <v>327</v>
      </c>
      <c r="B111" s="1">
        <f t="shared" si="20"/>
        <v>19620</v>
      </c>
      <c r="C111" s="26">
        <f t="shared" si="21"/>
        <v>5.45</v>
      </c>
      <c r="D111" s="26">
        <v>20</v>
      </c>
      <c r="E111" s="26">
        <f t="shared" si="18"/>
        <v>29.146000000000001</v>
      </c>
      <c r="F111" s="26">
        <f t="shared" si="22"/>
        <v>4.8576666666666667E-7</v>
      </c>
      <c r="G111" s="26">
        <v>21.1</v>
      </c>
      <c r="H111" s="26">
        <f t="shared" si="23"/>
        <v>294.10000000000002</v>
      </c>
      <c r="I111" s="26">
        <v>101.3</v>
      </c>
      <c r="J111" s="26">
        <f t="shared" si="24"/>
        <v>101300</v>
      </c>
      <c r="K111" s="26">
        <f t="shared" si="25"/>
        <v>2.0124824921938581E-5</v>
      </c>
      <c r="L111" s="20">
        <v>449.15346534653469</v>
      </c>
      <c r="M111" s="27">
        <f t="shared" si="26"/>
        <v>4.4915346534653468E-4</v>
      </c>
      <c r="N111" s="29">
        <f t="shared" si="27"/>
        <v>4.7762865441819992E-3</v>
      </c>
      <c r="O111" s="27">
        <f t="shared" si="28"/>
        <v>1.8925026313991984E-6</v>
      </c>
      <c r="P111" s="27">
        <f t="shared" si="36"/>
        <v>1.0883118363229942E+16</v>
      </c>
      <c r="Q111" s="21">
        <f t="shared" si="30"/>
        <v>2.032E-3</v>
      </c>
      <c r="R111" s="21">
        <v>1.94149580791897E-10</v>
      </c>
      <c r="S111" s="2">
        <v>0.32</v>
      </c>
      <c r="T111" s="27">
        <f t="shared" si="31"/>
        <v>132000</v>
      </c>
      <c r="U111" s="2">
        <v>5.36358238306597E-3</v>
      </c>
      <c r="V111" s="11">
        <v>0.11</v>
      </c>
      <c r="W111" s="30">
        <f t="shared" si="32"/>
        <v>111000.00000000001</v>
      </c>
      <c r="X111" s="30">
        <f t="shared" si="19"/>
        <v>49.856034653465358</v>
      </c>
      <c r="Y111" s="11">
        <f t="shared" si="33"/>
        <v>721.89535148940024</v>
      </c>
      <c r="Z111" s="9">
        <f t="shared" si="34"/>
        <v>7.732130046252837E-14</v>
      </c>
      <c r="AA111" s="9">
        <f t="shared" si="35"/>
        <v>46562887138.534584</v>
      </c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</row>
    <row r="112" spans="1:78" s="4" customFormat="1" x14ac:dyDescent="0.3">
      <c r="A112" s="26">
        <v>330</v>
      </c>
      <c r="B112" s="1">
        <f t="shared" si="20"/>
        <v>19800</v>
      </c>
      <c r="C112" s="26">
        <f t="shared" si="21"/>
        <v>5.5</v>
      </c>
      <c r="D112" s="26">
        <v>20</v>
      </c>
      <c r="E112" s="26">
        <f t="shared" si="18"/>
        <v>29.146000000000001</v>
      </c>
      <c r="F112" s="26">
        <f t="shared" si="22"/>
        <v>4.8576666666666667E-7</v>
      </c>
      <c r="G112" s="26">
        <v>21.1</v>
      </c>
      <c r="H112" s="26">
        <f t="shared" si="23"/>
        <v>294.10000000000002</v>
      </c>
      <c r="I112" s="26">
        <v>101.3</v>
      </c>
      <c r="J112" s="26">
        <f t="shared" si="24"/>
        <v>101300</v>
      </c>
      <c r="K112" s="26">
        <f t="shared" si="25"/>
        <v>2.0124824921938581E-5</v>
      </c>
      <c r="L112" s="20">
        <v>423.13861386138615</v>
      </c>
      <c r="M112" s="27">
        <f t="shared" si="26"/>
        <v>4.2313861386138613E-4</v>
      </c>
      <c r="N112" s="29">
        <f t="shared" si="27"/>
        <v>4.7762865441819992E-3</v>
      </c>
      <c r="O112" s="27">
        <f t="shared" si="28"/>
        <v>1.7828893729261328E-6</v>
      </c>
      <c r="P112" s="27">
        <f t="shared" si="36"/>
        <v>1.0252770988093292E+16</v>
      </c>
      <c r="Q112" s="21">
        <f t="shared" si="30"/>
        <v>2.032E-3</v>
      </c>
      <c r="R112" s="21">
        <v>1.94149580791897E-10</v>
      </c>
      <c r="S112" s="2">
        <v>0.32</v>
      </c>
      <c r="T112" s="27">
        <f t="shared" si="31"/>
        <v>132000</v>
      </c>
      <c r="U112" s="2">
        <v>5.36358238306597E-3</v>
      </c>
      <c r="V112" s="11">
        <v>0.11</v>
      </c>
      <c r="W112" s="30">
        <f t="shared" si="32"/>
        <v>111000.00000000001</v>
      </c>
      <c r="X112" s="30">
        <f t="shared" si="19"/>
        <v>46.968386138613866</v>
      </c>
      <c r="Y112" s="11">
        <f t="shared" si="33"/>
        <v>650.93096086904677</v>
      </c>
      <c r="Z112" s="9">
        <f t="shared" si="34"/>
        <v>7.2803515864533992E-14</v>
      </c>
      <c r="AA112" s="9">
        <f t="shared" si="35"/>
        <v>43842277253.622375</v>
      </c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</row>
    <row r="113" spans="1:78" s="4" customFormat="1" x14ac:dyDescent="0.3">
      <c r="A113" s="26">
        <v>333</v>
      </c>
      <c r="B113" s="1">
        <f t="shared" si="20"/>
        <v>19980</v>
      </c>
      <c r="C113" s="26">
        <f t="shared" si="21"/>
        <v>5.55</v>
      </c>
      <c r="D113" s="26">
        <v>20</v>
      </c>
      <c r="E113" s="26">
        <f t="shared" si="18"/>
        <v>29.146000000000001</v>
      </c>
      <c r="F113" s="26">
        <f t="shared" si="22"/>
        <v>4.8576666666666667E-7</v>
      </c>
      <c r="G113" s="26">
        <v>21.1</v>
      </c>
      <c r="H113" s="26">
        <f t="shared" si="23"/>
        <v>294.10000000000002</v>
      </c>
      <c r="I113" s="26">
        <v>101.3</v>
      </c>
      <c r="J113" s="26">
        <f t="shared" si="24"/>
        <v>101300</v>
      </c>
      <c r="K113" s="26">
        <f t="shared" si="25"/>
        <v>2.0124824921938581E-5</v>
      </c>
      <c r="L113" s="20">
        <v>448.5594059405941</v>
      </c>
      <c r="M113" s="27">
        <f t="shared" si="26"/>
        <v>4.4855940594059409E-4</v>
      </c>
      <c r="N113" s="29">
        <f t="shared" si="27"/>
        <v>4.7762865441819992E-3</v>
      </c>
      <c r="O113" s="27">
        <f t="shared" si="28"/>
        <v>1.8899995693598519E-6</v>
      </c>
      <c r="P113" s="27">
        <f t="shared" si="36"/>
        <v>1.0868724132018452E+16</v>
      </c>
      <c r="Q113" s="21">
        <f t="shared" si="30"/>
        <v>2.032E-3</v>
      </c>
      <c r="R113" s="21">
        <v>1.94149580791897E-10</v>
      </c>
      <c r="S113" s="2">
        <v>0.32</v>
      </c>
      <c r="T113" s="27">
        <f t="shared" si="31"/>
        <v>132000</v>
      </c>
      <c r="U113" s="2">
        <v>5.36358238306597E-3</v>
      </c>
      <c r="V113" s="11">
        <v>0.11</v>
      </c>
      <c r="W113" s="30">
        <f t="shared" si="32"/>
        <v>111000.00000000001</v>
      </c>
      <c r="X113" s="30">
        <f t="shared" si="19"/>
        <v>49.790094059405952</v>
      </c>
      <c r="Y113" s="11">
        <f t="shared" si="33"/>
        <v>720.23755229956498</v>
      </c>
      <c r="Z113" s="9">
        <f t="shared" si="34"/>
        <v>7.7218058634583852E-14</v>
      </c>
      <c r="AA113" s="9">
        <f t="shared" si="35"/>
        <v>46500714909.746399</v>
      </c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</row>
    <row r="114" spans="1:78" s="4" customFormat="1" x14ac:dyDescent="0.3">
      <c r="A114" s="26">
        <v>336</v>
      </c>
      <c r="B114" s="1">
        <f t="shared" si="20"/>
        <v>20160</v>
      </c>
      <c r="C114" s="26">
        <f t="shared" si="21"/>
        <v>5.6</v>
      </c>
      <c r="D114" s="26">
        <v>20</v>
      </c>
      <c r="E114" s="26">
        <f t="shared" si="18"/>
        <v>29.146000000000001</v>
      </c>
      <c r="F114" s="26">
        <f t="shared" si="22"/>
        <v>4.8576666666666667E-7</v>
      </c>
      <c r="G114" s="26">
        <v>21.1</v>
      </c>
      <c r="H114" s="26">
        <f t="shared" si="23"/>
        <v>294.10000000000002</v>
      </c>
      <c r="I114" s="26">
        <v>101.3</v>
      </c>
      <c r="J114" s="26">
        <f t="shared" si="24"/>
        <v>101300</v>
      </c>
      <c r="K114" s="26">
        <f t="shared" si="25"/>
        <v>2.0124824921938581E-5</v>
      </c>
      <c r="L114" s="20">
        <v>432.96534653465352</v>
      </c>
      <c r="M114" s="27">
        <f t="shared" si="26"/>
        <v>4.3296534653465351E-4</v>
      </c>
      <c r="N114" s="29">
        <f t="shared" si="27"/>
        <v>4.7762865441819992E-3</v>
      </c>
      <c r="O114" s="27">
        <f t="shared" si="28"/>
        <v>1.8242941908269959E-6</v>
      </c>
      <c r="P114" s="27">
        <f t="shared" si="36"/>
        <v>1.0490875562716746E+16</v>
      </c>
      <c r="Q114" s="21">
        <f t="shared" si="30"/>
        <v>2.032E-3</v>
      </c>
      <c r="R114" s="21">
        <v>1.94149580791897E-10</v>
      </c>
      <c r="S114" s="2">
        <v>0.32</v>
      </c>
      <c r="T114" s="27">
        <f t="shared" si="31"/>
        <v>132000</v>
      </c>
      <c r="U114" s="2">
        <v>5.36358238306597E-3</v>
      </c>
      <c r="V114" s="11">
        <v>0.11</v>
      </c>
      <c r="W114" s="30">
        <f t="shared" si="32"/>
        <v>111000.00000000001</v>
      </c>
      <c r="X114" s="30">
        <f t="shared" si="19"/>
        <v>48.059153465346547</v>
      </c>
      <c r="Y114" s="11">
        <f t="shared" si="33"/>
        <v>677.34332857303934</v>
      </c>
      <c r="Z114" s="9">
        <f t="shared" si="34"/>
        <v>7.4509246397070637E-14</v>
      </c>
      <c r="AA114" s="9">
        <f t="shared" si="35"/>
        <v>44869468180.315941</v>
      </c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</row>
    <row r="115" spans="1:78" s="4" customFormat="1" x14ac:dyDescent="0.3">
      <c r="A115" s="26">
        <v>339</v>
      </c>
      <c r="B115" s="1">
        <f t="shared" si="20"/>
        <v>20340</v>
      </c>
      <c r="C115" s="26">
        <f t="shared" si="21"/>
        <v>5.65</v>
      </c>
      <c r="D115" s="26">
        <v>20</v>
      </c>
      <c r="E115" s="26">
        <f t="shared" si="18"/>
        <v>29.146000000000001</v>
      </c>
      <c r="F115" s="26">
        <f t="shared" si="22"/>
        <v>4.8576666666666667E-7</v>
      </c>
      <c r="G115" s="26">
        <v>21.1</v>
      </c>
      <c r="H115" s="26">
        <f t="shared" si="23"/>
        <v>294.10000000000002</v>
      </c>
      <c r="I115" s="26">
        <v>101.3</v>
      </c>
      <c r="J115" s="26">
        <f t="shared" si="24"/>
        <v>101300</v>
      </c>
      <c r="K115" s="26">
        <f t="shared" si="25"/>
        <v>2.0124824921938581E-5</v>
      </c>
      <c r="L115" s="20">
        <v>436.13366336633669</v>
      </c>
      <c r="M115" s="27">
        <f t="shared" si="26"/>
        <v>4.3613366336633669E-4</v>
      </c>
      <c r="N115" s="29">
        <f t="shared" si="27"/>
        <v>4.7762865441819992E-3</v>
      </c>
      <c r="O115" s="27">
        <f t="shared" si="28"/>
        <v>1.8376438550368463E-6</v>
      </c>
      <c r="P115" s="27">
        <f t="shared" si="36"/>
        <v>1.0567644795844714E+16</v>
      </c>
      <c r="Q115" s="21">
        <f t="shared" si="30"/>
        <v>2.032E-3</v>
      </c>
      <c r="R115" s="21">
        <v>1.94149580791897E-10</v>
      </c>
      <c r="S115" s="2">
        <v>0.32</v>
      </c>
      <c r="T115" s="27">
        <f t="shared" si="31"/>
        <v>132000</v>
      </c>
      <c r="U115" s="2">
        <v>5.36358238306597E-3</v>
      </c>
      <c r="V115" s="11">
        <v>0.11</v>
      </c>
      <c r="W115" s="30">
        <f t="shared" si="32"/>
        <v>111000.00000000001</v>
      </c>
      <c r="X115" s="30">
        <f t="shared" si="19"/>
        <v>48.410836633663379</v>
      </c>
      <c r="Y115" s="11">
        <f t="shared" si="33"/>
        <v>685.9610841715272</v>
      </c>
      <c r="Z115" s="9">
        <f t="shared" si="34"/>
        <v>7.5059409402089367E-14</v>
      </c>
      <c r="AA115" s="9">
        <f t="shared" si="35"/>
        <v>45200776341.938217</v>
      </c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</row>
    <row r="116" spans="1:78" s="4" customFormat="1" x14ac:dyDescent="0.3">
      <c r="A116" s="26">
        <v>342</v>
      </c>
      <c r="B116" s="1">
        <f t="shared" si="20"/>
        <v>20520</v>
      </c>
      <c r="C116" s="26">
        <f t="shared" si="21"/>
        <v>5.7</v>
      </c>
      <c r="D116" s="26">
        <v>20</v>
      </c>
      <c r="E116" s="26">
        <f t="shared" si="18"/>
        <v>29.146000000000001</v>
      </c>
      <c r="F116" s="26">
        <f t="shared" si="22"/>
        <v>4.8576666666666667E-7</v>
      </c>
      <c r="G116" s="26">
        <v>21.1</v>
      </c>
      <c r="H116" s="26">
        <f t="shared" si="23"/>
        <v>294.10000000000002</v>
      </c>
      <c r="I116" s="26">
        <v>101.3</v>
      </c>
      <c r="J116" s="26">
        <f t="shared" si="24"/>
        <v>101300</v>
      </c>
      <c r="K116" s="26">
        <f t="shared" si="25"/>
        <v>2.0124824921938581E-5</v>
      </c>
      <c r="L116" s="20">
        <v>443.98019801980206</v>
      </c>
      <c r="M116" s="27">
        <f t="shared" si="26"/>
        <v>4.4398019801980207E-4</v>
      </c>
      <c r="N116" s="29">
        <f t="shared" si="27"/>
        <v>4.7762865441819992E-3</v>
      </c>
      <c r="O116" s="27">
        <f t="shared" si="28"/>
        <v>1.8707051328065529E-6</v>
      </c>
      <c r="P116" s="27">
        <f t="shared" si="36"/>
        <v>1.075776859976319E+16</v>
      </c>
      <c r="Q116" s="21">
        <f t="shared" si="30"/>
        <v>2.032E-3</v>
      </c>
      <c r="R116" s="21">
        <v>1.94149580791897E-10</v>
      </c>
      <c r="S116" s="2">
        <v>0.32</v>
      </c>
      <c r="T116" s="27">
        <f t="shared" si="31"/>
        <v>132000</v>
      </c>
      <c r="U116" s="2">
        <v>5.36358238306597E-3</v>
      </c>
      <c r="V116" s="11">
        <v>0.11</v>
      </c>
      <c r="W116" s="30">
        <f t="shared" si="32"/>
        <v>111000.00000000001</v>
      </c>
      <c r="X116" s="30">
        <f t="shared" si="19"/>
        <v>49.281801980198033</v>
      </c>
      <c r="Y116" s="11">
        <f t="shared" si="33"/>
        <v>707.5170966271636</v>
      </c>
      <c r="Z116" s="9">
        <f t="shared" si="34"/>
        <v>7.6422357718810059E-14</v>
      </c>
      <c r="AA116" s="9">
        <f t="shared" si="35"/>
        <v>46021543818.267418</v>
      </c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</row>
    <row r="117" spans="1:78" s="4" customFormat="1" x14ac:dyDescent="0.3">
      <c r="A117" s="26">
        <v>345</v>
      </c>
      <c r="B117" s="1">
        <f t="shared" si="20"/>
        <v>20700</v>
      </c>
      <c r="C117" s="26">
        <f t="shared" si="21"/>
        <v>5.75</v>
      </c>
      <c r="D117" s="26">
        <v>20</v>
      </c>
      <c r="E117" s="26">
        <f t="shared" si="18"/>
        <v>29.146000000000001</v>
      </c>
      <c r="F117" s="26">
        <f t="shared" si="22"/>
        <v>4.8576666666666667E-7</v>
      </c>
      <c r="G117" s="26">
        <v>21.1</v>
      </c>
      <c r="H117" s="26">
        <f t="shared" si="23"/>
        <v>294.10000000000002</v>
      </c>
      <c r="I117" s="26">
        <v>101.3</v>
      </c>
      <c r="J117" s="26">
        <f t="shared" si="24"/>
        <v>101300</v>
      </c>
      <c r="K117" s="26">
        <f t="shared" si="25"/>
        <v>2.0124824921938581E-5</v>
      </c>
      <c r="L117" s="20">
        <v>436.08415841584156</v>
      </c>
      <c r="M117" s="27">
        <f t="shared" si="26"/>
        <v>4.3608415841584158E-4</v>
      </c>
      <c r="N117" s="29">
        <f t="shared" si="27"/>
        <v>4.7762865441819992E-3</v>
      </c>
      <c r="O117" s="27">
        <f t="shared" si="28"/>
        <v>1.8374352665335668E-6</v>
      </c>
      <c r="P117" s="27">
        <f t="shared" si="36"/>
        <v>1.0566445276577086E+16</v>
      </c>
      <c r="Q117" s="21">
        <f t="shared" si="30"/>
        <v>2.032E-3</v>
      </c>
      <c r="R117" s="21">
        <v>1.94149580791897E-10</v>
      </c>
      <c r="S117" s="2">
        <v>0.32</v>
      </c>
      <c r="T117" s="27">
        <f t="shared" si="31"/>
        <v>132000</v>
      </c>
      <c r="U117" s="2">
        <v>5.36358238306597E-3</v>
      </c>
      <c r="V117" s="11">
        <v>0.11</v>
      </c>
      <c r="W117" s="30">
        <f t="shared" si="32"/>
        <v>111000.00000000001</v>
      </c>
      <c r="X117" s="30">
        <f t="shared" si="19"/>
        <v>48.405341584158421</v>
      </c>
      <c r="Y117" s="11">
        <f t="shared" si="33"/>
        <v>685.82604991439746</v>
      </c>
      <c r="Z117" s="9">
        <f t="shared" si="34"/>
        <v>7.5050812331574204E-14</v>
      </c>
      <c r="AA117" s="9">
        <f t="shared" si="35"/>
        <v>45195599186.07399</v>
      </c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</row>
    <row r="118" spans="1:78" s="4" customFormat="1" x14ac:dyDescent="0.3">
      <c r="A118" s="26">
        <v>348</v>
      </c>
      <c r="B118" s="1">
        <f t="shared" si="20"/>
        <v>20880</v>
      </c>
      <c r="C118" s="26">
        <f t="shared" si="21"/>
        <v>5.8</v>
      </c>
      <c r="D118" s="26">
        <v>20</v>
      </c>
      <c r="E118" s="26">
        <f t="shared" si="18"/>
        <v>29.146000000000001</v>
      </c>
      <c r="F118" s="26">
        <f t="shared" si="22"/>
        <v>4.8576666666666667E-7</v>
      </c>
      <c r="G118" s="26">
        <v>21.1</v>
      </c>
      <c r="H118" s="26">
        <f t="shared" si="23"/>
        <v>294.10000000000002</v>
      </c>
      <c r="I118" s="26">
        <v>101.3</v>
      </c>
      <c r="J118" s="26">
        <f t="shared" si="24"/>
        <v>101300</v>
      </c>
      <c r="K118" s="26">
        <f t="shared" si="25"/>
        <v>2.0124824921938581E-5</v>
      </c>
      <c r="L118" s="20">
        <v>431.70297029702971</v>
      </c>
      <c r="M118" s="27">
        <f t="shared" si="26"/>
        <v>4.3170297029702969E-4</v>
      </c>
      <c r="N118" s="29">
        <f t="shared" si="27"/>
        <v>4.7762865441819992E-3</v>
      </c>
      <c r="O118" s="27">
        <f t="shared" si="28"/>
        <v>1.8189751839933835E-6</v>
      </c>
      <c r="P118" s="27">
        <f t="shared" si="36"/>
        <v>1.0460287821392322E+16</v>
      </c>
      <c r="Q118" s="21">
        <f t="shared" si="30"/>
        <v>2.032E-3</v>
      </c>
      <c r="R118" s="21">
        <v>1.94149580791897E-10</v>
      </c>
      <c r="S118" s="2">
        <v>0.32</v>
      </c>
      <c r="T118" s="27">
        <f t="shared" si="31"/>
        <v>132000</v>
      </c>
      <c r="U118" s="2">
        <v>5.36358238306597E-3</v>
      </c>
      <c r="V118" s="11">
        <v>0.11</v>
      </c>
      <c r="W118" s="30">
        <f t="shared" si="32"/>
        <v>111000.00000000001</v>
      </c>
      <c r="X118" s="30">
        <f t="shared" si="19"/>
        <v>47.919029702970299</v>
      </c>
      <c r="Y118" s="11">
        <f t="shared" si="33"/>
        <v>673.92352864846941</v>
      </c>
      <c r="Z118" s="9">
        <f t="shared" si="34"/>
        <v>7.429006876809717E-14</v>
      </c>
      <c r="AA118" s="9">
        <f t="shared" si="35"/>
        <v>44737479412.148117</v>
      </c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</row>
    <row r="119" spans="1:78" s="4" customFormat="1" x14ac:dyDescent="0.3">
      <c r="A119" s="26">
        <v>351</v>
      </c>
      <c r="B119" s="1">
        <f t="shared" si="20"/>
        <v>21060</v>
      </c>
      <c r="C119" s="26">
        <f t="shared" si="21"/>
        <v>5.85</v>
      </c>
      <c r="D119" s="26">
        <v>20</v>
      </c>
      <c r="E119" s="26">
        <f t="shared" si="18"/>
        <v>29.146000000000001</v>
      </c>
      <c r="F119" s="26">
        <f t="shared" si="22"/>
        <v>4.8576666666666667E-7</v>
      </c>
      <c r="G119" s="26">
        <v>21.1</v>
      </c>
      <c r="H119" s="26">
        <f t="shared" si="23"/>
        <v>294.10000000000002</v>
      </c>
      <c r="I119" s="26">
        <v>101.3</v>
      </c>
      <c r="J119" s="26">
        <f t="shared" si="24"/>
        <v>101300</v>
      </c>
      <c r="K119" s="26">
        <f t="shared" si="25"/>
        <v>2.0124824921938581E-5</v>
      </c>
      <c r="L119" s="20">
        <v>425.29207920792078</v>
      </c>
      <c r="M119" s="27">
        <f t="shared" si="26"/>
        <v>4.2529207920792079E-4</v>
      </c>
      <c r="N119" s="29">
        <f t="shared" si="27"/>
        <v>4.7762865441819992E-3</v>
      </c>
      <c r="O119" s="27">
        <f t="shared" si="28"/>
        <v>1.791962972818765E-6</v>
      </c>
      <c r="P119" s="27">
        <f t="shared" si="36"/>
        <v>1.0304950076234954E+16</v>
      </c>
      <c r="Q119" s="21">
        <f t="shared" si="30"/>
        <v>2.032E-3</v>
      </c>
      <c r="R119" s="21">
        <v>1.94149580791897E-10</v>
      </c>
      <c r="S119" s="2">
        <v>0.32</v>
      </c>
      <c r="T119" s="27">
        <f t="shared" si="31"/>
        <v>132000</v>
      </c>
      <c r="U119" s="2">
        <v>5.36358238306597E-3</v>
      </c>
      <c r="V119" s="11">
        <v>0.11</v>
      </c>
      <c r="W119" s="30">
        <f t="shared" si="32"/>
        <v>111000.00000000001</v>
      </c>
      <c r="X119" s="30">
        <f t="shared" si="19"/>
        <v>47.207420792079212</v>
      </c>
      <c r="Y119" s="11">
        <f t="shared" si="33"/>
        <v>656.67811641329968</v>
      </c>
      <c r="Z119" s="9">
        <f t="shared" si="34"/>
        <v>7.3177234245956218E-14</v>
      </c>
      <c r="AA119" s="9">
        <f t="shared" si="35"/>
        <v>44067330462.914833</v>
      </c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</row>
    <row r="120" spans="1:78" s="4" customFormat="1" x14ac:dyDescent="0.3">
      <c r="A120" s="26">
        <v>354</v>
      </c>
      <c r="B120" s="1">
        <f t="shared" si="20"/>
        <v>21240</v>
      </c>
      <c r="C120" s="26">
        <f t="shared" si="21"/>
        <v>5.9</v>
      </c>
      <c r="D120" s="26">
        <v>20</v>
      </c>
      <c r="E120" s="26">
        <f t="shared" si="18"/>
        <v>29.146000000000001</v>
      </c>
      <c r="F120" s="26">
        <f t="shared" si="22"/>
        <v>4.8576666666666667E-7</v>
      </c>
      <c r="G120" s="26">
        <v>21.1</v>
      </c>
      <c r="H120" s="26">
        <f t="shared" si="23"/>
        <v>294.10000000000002</v>
      </c>
      <c r="I120" s="26">
        <v>101.3</v>
      </c>
      <c r="J120" s="26">
        <f t="shared" si="24"/>
        <v>101300</v>
      </c>
      <c r="K120" s="26">
        <f t="shared" si="25"/>
        <v>2.0124824921938581E-5</v>
      </c>
      <c r="L120" s="20">
        <v>428.28712871287132</v>
      </c>
      <c r="M120" s="27">
        <f t="shared" si="26"/>
        <v>4.2828712871287132E-4</v>
      </c>
      <c r="N120" s="29">
        <f t="shared" si="27"/>
        <v>4.7762865441819992E-3</v>
      </c>
      <c r="O120" s="27">
        <f t="shared" si="28"/>
        <v>1.804582577267139E-6</v>
      </c>
      <c r="P120" s="27">
        <f t="shared" si="36"/>
        <v>1.0377520991926234E+16</v>
      </c>
      <c r="Q120" s="21">
        <f t="shared" si="30"/>
        <v>2.032E-3</v>
      </c>
      <c r="R120" s="21">
        <v>1.94149580791897E-10</v>
      </c>
      <c r="S120" s="2">
        <v>0.32</v>
      </c>
      <c r="T120" s="27">
        <f t="shared" si="31"/>
        <v>132000</v>
      </c>
      <c r="U120" s="2">
        <v>5.36358238306597E-3</v>
      </c>
      <c r="V120" s="11">
        <v>0.11</v>
      </c>
      <c r="W120" s="30">
        <f t="shared" si="32"/>
        <v>111000.00000000001</v>
      </c>
      <c r="X120" s="30">
        <f t="shared" si="19"/>
        <v>47.539871287128726</v>
      </c>
      <c r="Y120" s="11">
        <f t="shared" si="33"/>
        <v>664.70951119621634</v>
      </c>
      <c r="Z120" s="9">
        <f t="shared" si="34"/>
        <v>7.369707931656754E-14</v>
      </c>
      <c r="AA120" s="9">
        <f t="shared" si="35"/>
        <v>44380381164.436974</v>
      </c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</row>
    <row r="121" spans="1:78" s="4" customFormat="1" x14ac:dyDescent="0.3">
      <c r="A121" s="26">
        <v>357</v>
      </c>
      <c r="B121" s="1">
        <f t="shared" si="20"/>
        <v>21420</v>
      </c>
      <c r="C121" s="26">
        <f t="shared" si="21"/>
        <v>5.95</v>
      </c>
      <c r="D121" s="26">
        <v>20</v>
      </c>
      <c r="E121" s="26">
        <f t="shared" si="18"/>
        <v>29.146000000000001</v>
      </c>
      <c r="F121" s="26">
        <f t="shared" si="22"/>
        <v>4.8576666666666667E-7</v>
      </c>
      <c r="G121" s="26">
        <v>21.1</v>
      </c>
      <c r="H121" s="26">
        <f t="shared" si="23"/>
        <v>294.10000000000002</v>
      </c>
      <c r="I121" s="26">
        <v>101.3</v>
      </c>
      <c r="J121" s="26">
        <f t="shared" si="24"/>
        <v>101300</v>
      </c>
      <c r="K121" s="26">
        <f t="shared" si="25"/>
        <v>2.0124824921938581E-5</v>
      </c>
      <c r="L121" s="20">
        <v>434.35148514851483</v>
      </c>
      <c r="M121" s="27">
        <f t="shared" si="26"/>
        <v>4.3435148514851482E-4</v>
      </c>
      <c r="N121" s="29">
        <f t="shared" si="27"/>
        <v>4.7762865441819992E-3</v>
      </c>
      <c r="O121" s="27">
        <f t="shared" si="28"/>
        <v>1.830134668918805E-6</v>
      </c>
      <c r="P121" s="27">
        <f t="shared" si="36"/>
        <v>1.052446210221023E+16</v>
      </c>
      <c r="Q121" s="21">
        <f t="shared" si="30"/>
        <v>2.032E-3</v>
      </c>
      <c r="R121" s="21">
        <v>1.94149580791897E-10</v>
      </c>
      <c r="S121" s="2">
        <v>0.32</v>
      </c>
      <c r="T121" s="27">
        <f t="shared" si="31"/>
        <v>132000</v>
      </c>
      <c r="U121" s="2">
        <v>5.36358238306597E-3</v>
      </c>
      <c r="V121" s="11">
        <v>0.11</v>
      </c>
      <c r="W121" s="30">
        <f t="shared" si="32"/>
        <v>111000.00000000001</v>
      </c>
      <c r="X121" s="30">
        <f t="shared" si="19"/>
        <v>48.213014851485148</v>
      </c>
      <c r="Y121" s="11">
        <f t="shared" si="33"/>
        <v>681.10748656613237</v>
      </c>
      <c r="Z121" s="9">
        <f t="shared" si="34"/>
        <v>7.4749930348727181E-14</v>
      </c>
      <c r="AA121" s="9">
        <f t="shared" si="35"/>
        <v>45014408056.00351</v>
      </c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</row>
    <row r="122" spans="1:78" s="4" customFormat="1" x14ac:dyDescent="0.3">
      <c r="A122" s="26">
        <v>360</v>
      </c>
      <c r="B122" s="1">
        <f t="shared" si="20"/>
        <v>21600</v>
      </c>
      <c r="C122" s="26">
        <f t="shared" si="21"/>
        <v>6</v>
      </c>
      <c r="D122" s="26">
        <v>20</v>
      </c>
      <c r="E122" s="26">
        <f t="shared" si="18"/>
        <v>29.146000000000001</v>
      </c>
      <c r="F122" s="26">
        <f t="shared" si="22"/>
        <v>4.8576666666666667E-7</v>
      </c>
      <c r="G122" s="26">
        <v>21.1</v>
      </c>
      <c r="H122" s="26">
        <f t="shared" si="23"/>
        <v>294.10000000000002</v>
      </c>
      <c r="I122" s="26">
        <v>101.3</v>
      </c>
      <c r="J122" s="26">
        <f t="shared" si="24"/>
        <v>101300</v>
      </c>
      <c r="K122" s="26">
        <f t="shared" si="25"/>
        <v>2.0124824921938581E-5</v>
      </c>
      <c r="L122" s="20">
        <v>430.26732673267327</v>
      </c>
      <c r="M122" s="27">
        <f t="shared" si="26"/>
        <v>4.3026732673267327E-4</v>
      </c>
      <c r="N122" s="29">
        <f t="shared" si="27"/>
        <v>4.7762865441819992E-3</v>
      </c>
      <c r="O122" s="27">
        <f t="shared" si="28"/>
        <v>1.8129261173982952E-6</v>
      </c>
      <c r="P122" s="27">
        <f t="shared" si="36"/>
        <v>1.0425501762631212E+16</v>
      </c>
      <c r="Q122" s="21">
        <f t="shared" si="30"/>
        <v>2.032E-3</v>
      </c>
      <c r="R122" s="21">
        <v>1.94149580791897E-10</v>
      </c>
      <c r="S122" s="2">
        <v>0.32</v>
      </c>
      <c r="T122" s="27">
        <f t="shared" si="31"/>
        <v>132000</v>
      </c>
      <c r="U122" s="2">
        <v>5.36358238306597E-3</v>
      </c>
      <c r="V122" s="11">
        <v>0.11</v>
      </c>
      <c r="W122" s="30">
        <f t="shared" si="32"/>
        <v>111000.00000000001</v>
      </c>
      <c r="X122" s="30">
        <f t="shared" si="19"/>
        <v>47.75967326732674</v>
      </c>
      <c r="Y122" s="11">
        <f t="shared" si="33"/>
        <v>670.04393148190582</v>
      </c>
      <c r="Z122" s="9">
        <f t="shared" si="34"/>
        <v>7.4040827212372995E-14</v>
      </c>
      <c r="AA122" s="9">
        <f t="shared" si="35"/>
        <v>44587386147.291023</v>
      </c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</row>
    <row r="123" spans="1:78" s="4" customFormat="1" x14ac:dyDescent="0.3">
      <c r="A123" s="26">
        <v>363</v>
      </c>
      <c r="B123" s="1">
        <f t="shared" si="20"/>
        <v>21780</v>
      </c>
      <c r="C123" s="26">
        <f t="shared" si="21"/>
        <v>6.05</v>
      </c>
      <c r="D123" s="26">
        <v>20</v>
      </c>
      <c r="E123" s="26">
        <f t="shared" si="18"/>
        <v>29.146000000000001</v>
      </c>
      <c r="F123" s="26">
        <f t="shared" si="22"/>
        <v>4.8576666666666667E-7</v>
      </c>
      <c r="G123" s="26">
        <v>21.1</v>
      </c>
      <c r="H123" s="26">
        <f t="shared" si="23"/>
        <v>294.10000000000002</v>
      </c>
      <c r="I123" s="26">
        <v>101.3</v>
      </c>
      <c r="J123" s="26">
        <f t="shared" si="24"/>
        <v>101300</v>
      </c>
      <c r="K123" s="26">
        <f t="shared" si="25"/>
        <v>2.0124824921938581E-5</v>
      </c>
      <c r="L123" s="20">
        <v>431.72772277227727</v>
      </c>
      <c r="M123" s="27">
        <f t="shared" si="26"/>
        <v>4.3172772277227727E-4</v>
      </c>
      <c r="N123" s="29">
        <f t="shared" si="27"/>
        <v>4.7762865441819992E-3</v>
      </c>
      <c r="O123" s="27">
        <f t="shared" si="28"/>
        <v>1.8190794782450233E-6</v>
      </c>
      <c r="P123" s="27">
        <f t="shared" si="36"/>
        <v>1.0460887581026136E+16</v>
      </c>
      <c r="Q123" s="21">
        <f t="shared" si="30"/>
        <v>2.032E-3</v>
      </c>
      <c r="R123" s="21">
        <v>1.94149580791897E-10</v>
      </c>
      <c r="S123" s="2">
        <v>0.32</v>
      </c>
      <c r="T123" s="27">
        <f t="shared" si="31"/>
        <v>132000</v>
      </c>
      <c r="U123" s="2">
        <v>5.36358238306597E-3</v>
      </c>
      <c r="V123" s="11">
        <v>0.11</v>
      </c>
      <c r="W123" s="30">
        <f t="shared" si="32"/>
        <v>111000.00000000001</v>
      </c>
      <c r="X123" s="30">
        <f t="shared" si="19"/>
        <v>47.921777227722785</v>
      </c>
      <c r="Y123" s="11">
        <f t="shared" si="33"/>
        <v>673.99050773510271</v>
      </c>
      <c r="Z123" s="9">
        <f t="shared" si="34"/>
        <v>7.4294366216058047E-14</v>
      </c>
      <c r="AA123" s="9">
        <f t="shared" si="35"/>
        <v>44740067335.310158</v>
      </c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</row>
    <row r="124" spans="1:78" s="4" customFormat="1" x14ac:dyDescent="0.3">
      <c r="A124" s="26">
        <v>366</v>
      </c>
      <c r="B124" s="1">
        <f t="shared" si="20"/>
        <v>21960</v>
      </c>
      <c r="C124" s="26">
        <f t="shared" si="21"/>
        <v>6.1</v>
      </c>
      <c r="D124" s="26">
        <v>20</v>
      </c>
      <c r="E124" s="26">
        <f t="shared" si="18"/>
        <v>29.146000000000001</v>
      </c>
      <c r="F124" s="26">
        <f t="shared" si="22"/>
        <v>4.8576666666666667E-7</v>
      </c>
      <c r="G124" s="26">
        <v>21.1</v>
      </c>
      <c r="H124" s="26">
        <f t="shared" si="23"/>
        <v>294.10000000000002</v>
      </c>
      <c r="I124" s="26">
        <v>101.3</v>
      </c>
      <c r="J124" s="26">
        <f t="shared" si="24"/>
        <v>101300</v>
      </c>
      <c r="K124" s="26">
        <f t="shared" si="25"/>
        <v>2.0124824921938581E-5</v>
      </c>
      <c r="L124" s="20">
        <v>425.71287128712879</v>
      </c>
      <c r="M124" s="27">
        <f t="shared" si="26"/>
        <v>4.2571287128712878E-4</v>
      </c>
      <c r="N124" s="29">
        <f t="shared" si="27"/>
        <v>4.7762865441819992E-3</v>
      </c>
      <c r="O124" s="27">
        <f t="shared" si="28"/>
        <v>1.7937359750966363E-6</v>
      </c>
      <c r="P124" s="27">
        <f t="shared" si="36"/>
        <v>1.0315145990009766E+16</v>
      </c>
      <c r="Q124" s="21">
        <f t="shared" si="30"/>
        <v>2.032E-3</v>
      </c>
      <c r="R124" s="21">
        <v>1.94149580791897E-10</v>
      </c>
      <c r="S124" s="2">
        <v>0.32</v>
      </c>
      <c r="T124" s="27">
        <f t="shared" si="31"/>
        <v>132000</v>
      </c>
      <c r="U124" s="2">
        <v>5.36358238306597E-3</v>
      </c>
      <c r="V124" s="11">
        <v>0.11</v>
      </c>
      <c r="W124" s="30">
        <f t="shared" si="32"/>
        <v>111000.00000000001</v>
      </c>
      <c r="X124" s="30">
        <f t="shared" si="19"/>
        <v>47.254128712871299</v>
      </c>
      <c r="Y124" s="11">
        <f t="shared" si="33"/>
        <v>657.80380958886678</v>
      </c>
      <c r="Z124" s="9">
        <f t="shared" si="34"/>
        <v>7.3250264994444829E-14</v>
      </c>
      <c r="AA124" s="9">
        <f t="shared" si="35"/>
        <v>44111309579.654678</v>
      </c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</row>
    <row r="125" spans="1:78" s="4" customFormat="1" x14ac:dyDescent="0.3">
      <c r="A125" s="26">
        <v>369</v>
      </c>
      <c r="B125" s="1">
        <f t="shared" si="20"/>
        <v>22140</v>
      </c>
      <c r="C125" s="26">
        <f t="shared" si="21"/>
        <v>6.15</v>
      </c>
      <c r="D125" s="26">
        <v>20</v>
      </c>
      <c r="E125" s="26">
        <f t="shared" si="18"/>
        <v>29.146000000000001</v>
      </c>
      <c r="F125" s="26">
        <f t="shared" si="22"/>
        <v>4.8576666666666667E-7</v>
      </c>
      <c r="G125" s="26">
        <v>21.1</v>
      </c>
      <c r="H125" s="26">
        <f t="shared" si="23"/>
        <v>294.10000000000002</v>
      </c>
      <c r="I125" s="26">
        <v>101.3</v>
      </c>
      <c r="J125" s="26">
        <f t="shared" si="24"/>
        <v>101300</v>
      </c>
      <c r="K125" s="26">
        <f t="shared" si="25"/>
        <v>2.0124824921938581E-5</v>
      </c>
      <c r="L125" s="20">
        <v>423.28712871287127</v>
      </c>
      <c r="M125" s="27">
        <f t="shared" si="26"/>
        <v>4.2328712871287125E-4</v>
      </c>
      <c r="N125" s="29">
        <f t="shared" si="27"/>
        <v>4.7762865441819992E-3</v>
      </c>
      <c r="O125" s="27">
        <f t="shared" si="28"/>
        <v>1.7835151384359694E-6</v>
      </c>
      <c r="P125" s="27">
        <f t="shared" si="36"/>
        <v>1.0256369545896164E+16</v>
      </c>
      <c r="Q125" s="21">
        <f t="shared" si="30"/>
        <v>2.032E-3</v>
      </c>
      <c r="R125" s="21">
        <v>1.94149580791897E-10</v>
      </c>
      <c r="S125" s="2">
        <v>0.32</v>
      </c>
      <c r="T125" s="27">
        <f t="shared" si="31"/>
        <v>132000</v>
      </c>
      <c r="U125" s="2">
        <v>5.36358238306597E-3</v>
      </c>
      <c r="V125" s="11">
        <v>0.11</v>
      </c>
      <c r="W125" s="30">
        <f t="shared" si="32"/>
        <v>111000.00000000001</v>
      </c>
      <c r="X125" s="30">
        <f t="shared" si="19"/>
        <v>46.984871287128712</v>
      </c>
      <c r="Y125" s="11">
        <f t="shared" si="33"/>
        <v>651.32657798904427</v>
      </c>
      <c r="Z125" s="9">
        <f t="shared" si="34"/>
        <v>7.2829288086617148E-14</v>
      </c>
      <c r="AA125" s="9">
        <f t="shared" si="35"/>
        <v>43857797285.760849</v>
      </c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</row>
    <row r="126" spans="1:78" s="4" customForma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8"/>
      <c r="M126" s="3"/>
      <c r="N126" s="3"/>
      <c r="O126" s="8"/>
      <c r="P126" s="8">
        <f>AVERAGE(P82:P125)</f>
        <v>1.0423757007332852E+16</v>
      </c>
      <c r="Q126" s="23"/>
      <c r="R126" s="23"/>
      <c r="S126" s="8"/>
      <c r="T126" s="8"/>
      <c r="U126" s="8"/>
      <c r="V126" s="13"/>
      <c r="W126" s="8"/>
      <c r="X126" s="13">
        <f>AVERAGE(X82:X125)</f>
        <v>47.751680468046786</v>
      </c>
      <c r="Y126" s="19"/>
      <c r="Z126" s="8"/>
      <c r="AA126" s="19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</row>
    <row r="127" spans="1:78" s="4" customForma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8"/>
      <c r="M127" s="3"/>
      <c r="N127" s="3"/>
      <c r="O127" s="8"/>
      <c r="P127" s="8"/>
      <c r="Q127" s="23"/>
      <c r="R127" s="23"/>
      <c r="S127" s="8"/>
      <c r="T127" s="8"/>
      <c r="U127" s="8"/>
      <c r="V127" s="13"/>
      <c r="W127" s="8"/>
      <c r="X127" s="13"/>
      <c r="Y127" s="19"/>
      <c r="Z127" s="8"/>
      <c r="AA127" s="19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</row>
    <row r="128" spans="1:78" s="4" customForma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8"/>
      <c r="M128" s="3"/>
      <c r="N128" s="3"/>
      <c r="O128" s="8"/>
      <c r="P128" s="8"/>
      <c r="Q128" s="23"/>
      <c r="R128" s="23"/>
      <c r="S128" s="8"/>
      <c r="T128" s="8"/>
      <c r="U128" s="8"/>
      <c r="V128" s="13"/>
      <c r="W128" s="8"/>
      <c r="X128" s="13"/>
      <c r="Y128" s="19"/>
      <c r="Z128" s="32">
        <f>AVERAGE(Z82:Z125)</f>
        <v>7.4028741430887206E-14</v>
      </c>
      <c r="AA128" s="32">
        <f>AVERAGE(AA82:AA125)</f>
        <v>44580108089.680275</v>
      </c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</row>
    <row r="129" spans="1:78" s="4" customForma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8"/>
      <c r="M129" s="3"/>
      <c r="N129" s="3"/>
      <c r="O129" s="8"/>
      <c r="P129" s="8"/>
      <c r="Q129" s="23"/>
      <c r="R129" s="23"/>
      <c r="S129" s="8"/>
      <c r="T129" s="8"/>
      <c r="U129" s="8"/>
      <c r="V129" s="13"/>
      <c r="W129" s="8"/>
      <c r="X129" s="13"/>
      <c r="Y129" s="19"/>
      <c r="Z129" s="8"/>
      <c r="AA129" s="19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</row>
    <row r="130" spans="1:78" s="4" customForma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8"/>
      <c r="M130" s="3"/>
      <c r="N130" s="3"/>
      <c r="O130" s="8"/>
      <c r="P130" s="8"/>
      <c r="Q130" s="23"/>
      <c r="R130" s="23"/>
      <c r="S130" s="8"/>
      <c r="T130" s="8"/>
      <c r="U130" s="8"/>
      <c r="V130" s="13"/>
      <c r="W130" s="8"/>
      <c r="X130" s="13"/>
      <c r="Y130" s="19"/>
      <c r="Z130" s="8"/>
      <c r="AA130" s="19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</row>
    <row r="131" spans="1:78" s="4" customForma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8"/>
      <c r="M131" s="3"/>
      <c r="N131" s="3"/>
      <c r="O131" s="8"/>
      <c r="P131" s="8"/>
      <c r="Q131" s="23"/>
      <c r="R131" s="23"/>
      <c r="S131" s="8"/>
      <c r="T131" s="8"/>
      <c r="U131" s="8"/>
      <c r="V131" s="13"/>
      <c r="W131" s="8"/>
      <c r="X131" s="13"/>
      <c r="Y131" s="19"/>
      <c r="Z131" s="8"/>
      <c r="AA131" s="19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</row>
    <row r="132" spans="1:78" s="4" customForma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8"/>
      <c r="M132" s="3"/>
      <c r="N132" s="3"/>
      <c r="O132" s="8"/>
      <c r="P132" s="8"/>
      <c r="Q132" s="23"/>
      <c r="R132" s="23"/>
      <c r="S132" s="8"/>
      <c r="T132" s="8"/>
      <c r="U132" s="8"/>
      <c r="V132" s="13"/>
      <c r="W132" s="8"/>
      <c r="X132" s="13"/>
      <c r="Y132" s="19"/>
      <c r="Z132" s="8"/>
      <c r="AA132" s="19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</row>
    <row r="133" spans="1:78" s="4" customForma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8"/>
      <c r="M133" s="3"/>
      <c r="N133" s="3"/>
      <c r="O133" s="8"/>
      <c r="P133" s="8"/>
      <c r="Q133" s="23"/>
      <c r="R133" s="23"/>
      <c r="S133" s="8"/>
      <c r="T133" s="8"/>
      <c r="U133" s="8"/>
      <c r="V133" s="13"/>
      <c r="W133" s="8"/>
      <c r="X133" s="13"/>
      <c r="Y133" s="19"/>
      <c r="Z133" s="8"/>
      <c r="AA133" s="19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</row>
    <row r="134" spans="1:78" s="4" customForma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8"/>
      <c r="M134" s="3"/>
      <c r="N134" s="3"/>
      <c r="O134" s="8"/>
      <c r="P134" s="8"/>
      <c r="Q134" s="23"/>
      <c r="R134" s="23"/>
      <c r="S134" s="8"/>
      <c r="T134" s="8"/>
      <c r="U134" s="8"/>
      <c r="V134" s="13"/>
      <c r="W134" s="8"/>
      <c r="X134" s="13"/>
      <c r="Y134" s="19"/>
      <c r="Z134" s="8"/>
      <c r="AA134" s="19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</row>
    <row r="135" spans="1:78" s="4" customForma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8"/>
      <c r="M135" s="3"/>
      <c r="N135" s="3"/>
      <c r="O135" s="8"/>
      <c r="P135" s="8"/>
      <c r="Q135" s="23"/>
      <c r="R135" s="23"/>
      <c r="S135" s="8"/>
      <c r="T135" s="8"/>
      <c r="U135" s="8"/>
      <c r="V135" s="13"/>
      <c r="W135" s="8"/>
      <c r="X135" s="13"/>
      <c r="Y135" s="19"/>
      <c r="Z135" s="8"/>
      <c r="AA135" s="19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</row>
    <row r="136" spans="1:78" s="4" customForma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8"/>
      <c r="M136" s="3"/>
      <c r="N136" s="3"/>
      <c r="O136" s="8"/>
      <c r="P136" s="8"/>
      <c r="Q136" s="23"/>
      <c r="R136" s="23"/>
      <c r="S136" s="8"/>
      <c r="T136" s="8"/>
      <c r="U136" s="8"/>
      <c r="V136" s="13"/>
      <c r="W136" s="8"/>
      <c r="X136" s="13"/>
      <c r="Y136" s="19"/>
      <c r="Z136" s="8"/>
      <c r="AA136" s="19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</row>
    <row r="137" spans="1:78" s="4" customForma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8"/>
      <c r="M137" s="3"/>
      <c r="N137" s="3"/>
      <c r="O137" s="8"/>
      <c r="P137" s="8"/>
      <c r="Q137" s="23"/>
      <c r="R137" s="23"/>
      <c r="S137" s="8"/>
      <c r="T137" s="8"/>
      <c r="U137" s="8"/>
      <c r="V137" s="13"/>
      <c r="W137" s="8"/>
      <c r="X137" s="13"/>
      <c r="Y137" s="19"/>
      <c r="Z137" s="8"/>
      <c r="AA137" s="19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</row>
    <row r="138" spans="1:78" s="4" customForma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8"/>
      <c r="M138" s="3"/>
      <c r="N138" s="3"/>
      <c r="O138" s="8"/>
      <c r="P138" s="8"/>
      <c r="Q138" s="23"/>
      <c r="R138" s="23"/>
      <c r="S138" s="8"/>
      <c r="T138" s="8"/>
      <c r="U138" s="8"/>
      <c r="V138" s="13"/>
      <c r="W138" s="8"/>
      <c r="X138" s="13"/>
      <c r="Y138" s="19"/>
      <c r="Z138" s="8"/>
      <c r="AA138" s="19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</row>
    <row r="139" spans="1:78" s="4" customForma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8"/>
      <c r="M139" s="3"/>
      <c r="N139" s="3"/>
      <c r="O139" s="8"/>
      <c r="P139" s="8"/>
      <c r="Q139" s="23"/>
      <c r="R139" s="23"/>
      <c r="S139" s="8"/>
      <c r="T139" s="8"/>
      <c r="U139" s="8"/>
      <c r="V139" s="13"/>
      <c r="W139" s="8"/>
      <c r="X139" s="13"/>
      <c r="Y139" s="19"/>
      <c r="Z139" s="8"/>
      <c r="AA139" s="19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</row>
    <row r="140" spans="1:78" s="4" customForma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8"/>
      <c r="M140" s="3"/>
      <c r="N140" s="3"/>
      <c r="O140" s="8"/>
      <c r="P140" s="8"/>
      <c r="Q140" s="23"/>
      <c r="R140" s="23"/>
      <c r="S140" s="8"/>
      <c r="T140" s="8"/>
      <c r="U140" s="8"/>
      <c r="V140" s="13"/>
      <c r="W140" s="8"/>
      <c r="X140" s="13"/>
      <c r="Y140" s="19"/>
      <c r="Z140" s="8"/>
      <c r="AA140" s="19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</row>
    <row r="141" spans="1:78" s="4" customForma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8"/>
      <c r="M141" s="3"/>
      <c r="N141" s="3"/>
      <c r="O141" s="8"/>
      <c r="P141" s="8"/>
      <c r="Q141" s="23"/>
      <c r="R141" s="23"/>
      <c r="S141" s="8"/>
      <c r="T141" s="8"/>
      <c r="U141" s="8"/>
      <c r="V141" s="13"/>
      <c r="W141" s="8"/>
      <c r="X141" s="13"/>
      <c r="Y141" s="19"/>
      <c r="Z141" s="8"/>
      <c r="AA141" s="19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</row>
    <row r="142" spans="1:78" s="4" customForma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8"/>
      <c r="M142" s="3"/>
      <c r="N142" s="3"/>
      <c r="O142" s="8"/>
      <c r="P142" s="8"/>
      <c r="Q142" s="23"/>
      <c r="R142" s="23"/>
      <c r="S142" s="8"/>
      <c r="T142" s="8"/>
      <c r="U142" s="8"/>
      <c r="V142" s="13"/>
      <c r="W142" s="8"/>
      <c r="X142" s="13"/>
      <c r="Y142" s="19"/>
      <c r="Z142" s="8"/>
      <c r="AA142" s="19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</row>
    <row r="143" spans="1:78" s="4" customForma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8"/>
      <c r="M143" s="3"/>
      <c r="N143" s="3"/>
      <c r="O143" s="8"/>
      <c r="P143" s="8"/>
      <c r="Q143" s="23"/>
      <c r="R143" s="23"/>
      <c r="S143" s="8"/>
      <c r="T143" s="8"/>
      <c r="U143" s="8"/>
      <c r="V143" s="13"/>
      <c r="W143" s="8"/>
      <c r="X143" s="13"/>
      <c r="Y143" s="19"/>
      <c r="Z143" s="8"/>
      <c r="AA143" s="19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</row>
    <row r="144" spans="1:78" s="4" customForma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8"/>
      <c r="M144" s="3"/>
      <c r="N144" s="3"/>
      <c r="O144" s="8"/>
      <c r="P144" s="8"/>
      <c r="Q144" s="23"/>
      <c r="R144" s="23"/>
      <c r="S144" s="8"/>
      <c r="T144" s="8"/>
      <c r="U144" s="8"/>
      <c r="V144" s="13"/>
      <c r="W144" s="8"/>
      <c r="X144" s="13"/>
      <c r="Y144" s="19"/>
      <c r="Z144" s="8"/>
      <c r="AA144" s="19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</row>
    <row r="145" spans="1:78" s="4" customForma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8"/>
      <c r="M145" s="3"/>
      <c r="N145" s="3"/>
      <c r="O145" s="8"/>
      <c r="P145" s="8"/>
      <c r="Q145" s="23"/>
      <c r="R145" s="23"/>
      <c r="S145" s="8"/>
      <c r="T145" s="8"/>
      <c r="U145" s="8"/>
      <c r="V145" s="13"/>
      <c r="W145" s="8"/>
      <c r="X145" s="13"/>
      <c r="Y145" s="19"/>
      <c r="Z145" s="8"/>
      <c r="AA145" s="19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</row>
    <row r="146" spans="1:78" s="4" customForma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8"/>
      <c r="M146" s="3"/>
      <c r="N146" s="3"/>
      <c r="O146" s="8"/>
      <c r="P146" s="8"/>
      <c r="Q146" s="23"/>
      <c r="R146" s="23"/>
      <c r="S146" s="8"/>
      <c r="T146" s="8"/>
      <c r="U146" s="8"/>
      <c r="V146" s="13"/>
      <c r="W146" s="8"/>
      <c r="X146" s="13"/>
      <c r="Y146" s="19"/>
      <c r="Z146" s="8"/>
      <c r="AA146" s="19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</row>
    <row r="147" spans="1:78" s="4" customForma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8"/>
      <c r="M147" s="3"/>
      <c r="N147" s="3"/>
      <c r="O147" s="8"/>
      <c r="P147" s="8"/>
      <c r="Q147" s="23"/>
      <c r="R147" s="23"/>
      <c r="S147" s="8"/>
      <c r="T147" s="8"/>
      <c r="U147" s="8"/>
      <c r="V147" s="13"/>
      <c r="W147" s="8"/>
      <c r="X147" s="13"/>
      <c r="Y147" s="19"/>
      <c r="Z147" s="8"/>
      <c r="AA147" s="19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</row>
    <row r="148" spans="1:78" s="4" customForma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8"/>
      <c r="M148" s="3"/>
      <c r="N148" s="3"/>
      <c r="O148" s="8"/>
      <c r="P148" s="8"/>
      <c r="Q148" s="23"/>
      <c r="R148" s="23"/>
      <c r="S148" s="8"/>
      <c r="T148" s="8"/>
      <c r="U148" s="8"/>
      <c r="V148" s="13"/>
      <c r="W148" s="8"/>
      <c r="X148" s="13"/>
      <c r="Y148" s="19"/>
      <c r="Z148" s="8"/>
      <c r="AA148" s="19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</row>
    <row r="149" spans="1:78" s="4" customForma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8"/>
      <c r="M149" s="3"/>
      <c r="N149" s="3"/>
      <c r="O149" s="8"/>
      <c r="P149" s="8"/>
      <c r="Q149" s="23"/>
      <c r="R149" s="23"/>
      <c r="S149" s="8"/>
      <c r="T149" s="8"/>
      <c r="U149" s="8"/>
      <c r="V149" s="13"/>
      <c r="W149" s="8"/>
      <c r="X149" s="13"/>
      <c r="Y149" s="19"/>
      <c r="Z149" s="8"/>
      <c r="AA149" s="19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</row>
    <row r="150" spans="1:78" s="4" customForma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8"/>
      <c r="M150" s="3"/>
      <c r="N150" s="3"/>
      <c r="O150" s="8"/>
      <c r="P150" s="8"/>
      <c r="Q150" s="23"/>
      <c r="R150" s="23"/>
      <c r="S150" s="8"/>
      <c r="T150" s="8"/>
      <c r="U150" s="8"/>
      <c r="V150" s="13"/>
      <c r="W150" s="8"/>
      <c r="X150" s="13"/>
      <c r="Y150" s="19"/>
      <c r="Z150" s="8"/>
      <c r="AA150" s="19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</row>
    <row r="151" spans="1:78" s="4" customForma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8"/>
      <c r="M151" s="3"/>
      <c r="N151" s="3"/>
      <c r="O151" s="8"/>
      <c r="P151" s="8"/>
      <c r="Q151" s="23"/>
      <c r="R151" s="23"/>
      <c r="S151" s="8"/>
      <c r="T151" s="8"/>
      <c r="U151" s="8"/>
      <c r="V151" s="13"/>
      <c r="W151" s="8"/>
      <c r="X151" s="13"/>
      <c r="Y151" s="19"/>
      <c r="Z151" s="8"/>
      <c r="AA151" s="19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</row>
    <row r="152" spans="1:78" s="4" customForma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8"/>
      <c r="M152" s="3"/>
      <c r="N152" s="3"/>
      <c r="O152" s="8"/>
      <c r="P152" s="8"/>
      <c r="Q152" s="23"/>
      <c r="R152" s="23"/>
      <c r="S152" s="8"/>
      <c r="T152" s="8"/>
      <c r="U152" s="8"/>
      <c r="V152" s="13"/>
      <c r="W152" s="8"/>
      <c r="X152" s="13"/>
      <c r="Y152" s="19"/>
      <c r="Z152" s="8"/>
      <c r="AA152" s="19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</row>
    <row r="153" spans="1:78" s="4" customForma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8"/>
      <c r="M153" s="3"/>
      <c r="N153" s="3"/>
      <c r="O153" s="8"/>
      <c r="P153" s="8"/>
      <c r="Q153" s="23"/>
      <c r="R153" s="23"/>
      <c r="S153" s="8"/>
      <c r="T153" s="8"/>
      <c r="U153" s="8"/>
      <c r="V153" s="13"/>
      <c r="W153" s="8"/>
      <c r="X153" s="13"/>
      <c r="Y153" s="19"/>
      <c r="Z153" s="8"/>
      <c r="AA153" s="19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</row>
    <row r="154" spans="1:78" s="4" customForma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8"/>
      <c r="M154" s="3"/>
      <c r="N154" s="3"/>
      <c r="O154" s="8"/>
      <c r="P154" s="8"/>
      <c r="Q154" s="23"/>
      <c r="R154" s="23"/>
      <c r="S154" s="8"/>
      <c r="T154" s="8"/>
      <c r="U154" s="8"/>
      <c r="V154" s="13"/>
      <c r="W154" s="8"/>
      <c r="X154" s="13"/>
      <c r="Y154" s="19"/>
      <c r="Z154" s="8"/>
      <c r="AA154" s="19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</row>
    <row r="155" spans="1:78" s="4" customForma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8"/>
      <c r="M155" s="3"/>
      <c r="N155" s="3"/>
      <c r="O155" s="8"/>
      <c r="P155" s="8"/>
      <c r="Q155" s="23"/>
      <c r="R155" s="23"/>
      <c r="S155" s="8"/>
      <c r="T155" s="8"/>
      <c r="U155" s="8"/>
      <c r="V155" s="13"/>
      <c r="W155" s="8"/>
      <c r="X155" s="13"/>
      <c r="Y155" s="19"/>
      <c r="Z155" s="8"/>
      <c r="AA155" s="19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</row>
    <row r="156" spans="1:78" s="4" customForma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8"/>
      <c r="M156" s="3"/>
      <c r="N156" s="3"/>
      <c r="O156" s="8"/>
      <c r="P156" s="8"/>
      <c r="Q156" s="23"/>
      <c r="R156" s="23"/>
      <c r="S156" s="8"/>
      <c r="T156" s="8"/>
      <c r="U156" s="8"/>
      <c r="V156" s="13"/>
      <c r="W156" s="8"/>
      <c r="X156" s="13"/>
      <c r="Y156" s="19"/>
      <c r="Z156" s="8"/>
      <c r="AA156" s="19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</row>
    <row r="157" spans="1:78" s="4" customForma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8"/>
      <c r="M157" s="3"/>
      <c r="N157" s="3"/>
      <c r="O157" s="8"/>
      <c r="P157" s="8"/>
      <c r="Q157" s="23"/>
      <c r="R157" s="23"/>
      <c r="S157" s="8"/>
      <c r="T157" s="8"/>
      <c r="U157" s="8"/>
      <c r="V157" s="13"/>
      <c r="W157" s="8"/>
      <c r="X157" s="13"/>
      <c r="Y157" s="19"/>
      <c r="Z157" s="8"/>
      <c r="AA157" s="19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</row>
    <row r="158" spans="1:78" s="4" customForma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8"/>
      <c r="M158" s="3"/>
      <c r="N158" s="3"/>
      <c r="O158" s="8"/>
      <c r="P158" s="8"/>
      <c r="Q158" s="23"/>
      <c r="R158" s="23"/>
      <c r="S158" s="8"/>
      <c r="T158" s="8"/>
      <c r="U158" s="8"/>
      <c r="V158" s="13"/>
      <c r="W158" s="8"/>
      <c r="X158" s="13"/>
      <c r="Y158" s="19"/>
      <c r="Z158" s="8"/>
      <c r="AA158" s="19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</row>
    <row r="159" spans="1:78" s="4" customForma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8"/>
      <c r="M159" s="3"/>
      <c r="N159" s="3"/>
      <c r="O159" s="8"/>
      <c r="P159" s="8"/>
      <c r="Q159" s="23"/>
      <c r="R159" s="23"/>
      <c r="S159" s="8"/>
      <c r="T159" s="8"/>
      <c r="U159" s="8"/>
      <c r="V159" s="13"/>
      <c r="W159" s="8"/>
      <c r="X159" s="13"/>
      <c r="Y159" s="19"/>
      <c r="Z159" s="8"/>
      <c r="AA159" s="19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</row>
    <row r="160" spans="1:78" s="4" customForma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8"/>
      <c r="M160" s="3"/>
      <c r="N160" s="3"/>
      <c r="O160" s="8"/>
      <c r="P160" s="8"/>
      <c r="Q160" s="23"/>
      <c r="R160" s="23"/>
      <c r="S160" s="8"/>
      <c r="T160" s="8"/>
      <c r="U160" s="8"/>
      <c r="V160" s="13"/>
      <c r="W160" s="8"/>
      <c r="X160" s="13"/>
      <c r="Y160" s="19"/>
      <c r="Z160" s="8"/>
      <c r="AA160" s="19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</row>
    <row r="161" spans="1:78" s="4" customForma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8"/>
      <c r="M161" s="3"/>
      <c r="N161" s="3"/>
      <c r="O161" s="8"/>
      <c r="P161" s="8"/>
      <c r="Q161" s="23"/>
      <c r="R161" s="23"/>
      <c r="S161" s="8"/>
      <c r="T161" s="8"/>
      <c r="U161" s="8"/>
      <c r="V161" s="13"/>
      <c r="W161" s="8"/>
      <c r="X161" s="13"/>
      <c r="Y161" s="19"/>
      <c r="Z161" s="8"/>
      <c r="AA161" s="19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</row>
    <row r="162" spans="1:78" s="4" customForma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8"/>
      <c r="M162" s="3"/>
      <c r="N162" s="3"/>
      <c r="O162" s="8"/>
      <c r="P162" s="8"/>
      <c r="Q162" s="23"/>
      <c r="R162" s="23"/>
      <c r="S162" s="8"/>
      <c r="T162" s="8"/>
      <c r="U162" s="8"/>
      <c r="V162" s="13"/>
      <c r="W162" s="8"/>
      <c r="X162" s="13"/>
      <c r="Y162" s="19"/>
      <c r="Z162" s="8"/>
      <c r="AA162" s="19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</row>
    <row r="163" spans="1:78" s="4" customForma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8"/>
      <c r="M163" s="3"/>
      <c r="N163" s="3"/>
      <c r="O163" s="8"/>
      <c r="P163" s="8"/>
      <c r="Q163" s="23"/>
      <c r="R163" s="23"/>
      <c r="S163" s="8"/>
      <c r="T163" s="8"/>
      <c r="U163" s="8"/>
      <c r="V163" s="13"/>
      <c r="W163" s="8"/>
      <c r="X163" s="13"/>
      <c r="Y163" s="19"/>
      <c r="Z163" s="8"/>
      <c r="AA163" s="19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</row>
    <row r="164" spans="1:78" s="4" customForma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8"/>
      <c r="M164" s="3"/>
      <c r="N164" s="3"/>
      <c r="O164" s="8"/>
      <c r="P164" s="8"/>
      <c r="Q164" s="23"/>
      <c r="R164" s="23"/>
      <c r="S164" s="8"/>
      <c r="T164" s="8"/>
      <c r="U164" s="8"/>
      <c r="V164" s="13"/>
      <c r="W164" s="8"/>
      <c r="X164" s="13"/>
      <c r="Y164" s="19"/>
      <c r="Z164" s="8"/>
      <c r="AA164" s="19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500C_5mm_coated+swapped+dewar_N</vt:lpstr>
      <vt:lpstr>550C_5mm_coated+swapped+dewar_N</vt:lpstr>
      <vt:lpstr>600C_5mm_coated+swapped+dewar_N</vt:lpstr>
      <vt:lpstr>650C_5mm_coated+swapped+dewar_N</vt:lpstr>
      <vt:lpstr>700C_5mm_coated+swapped+dewar_N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Huihua Yang</cp:lastModifiedBy>
  <dcterms:created xsi:type="dcterms:W3CDTF">2015-06-05T18:17:20Z</dcterms:created>
  <dcterms:modified xsi:type="dcterms:W3CDTF">2026-01-26T15:53:32Z</dcterms:modified>
</cp:coreProperties>
</file>